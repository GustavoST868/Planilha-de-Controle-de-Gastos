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Gustavo S T\Downloads\"/>
    </mc:Choice>
  </mc:AlternateContent>
  <xr:revisionPtr revIDLastSave="0" documentId="13_ncr:1_{592AAB98-BC99-449D-8FC2-B5A93711A7CD}" xr6:coauthVersionLast="47" xr6:coauthVersionMax="47" xr10:uidLastSave="{00000000-0000-0000-0000-000000000000}"/>
  <bookViews>
    <workbookView xWindow="-120" yWindow="-120" windowWidth="29040" windowHeight="15720" xr2:uid="{9C1CDE50-B997-4C76-9510-AD39DC27CD47}"/>
  </bookViews>
  <sheets>
    <sheet name="Menu" sheetId="1" r:id="rId1"/>
    <sheet name="Cadastrar Clientes" sheetId="2" r:id="rId2"/>
    <sheet name="Cadastrar Vendas e Recebimentos" sheetId="4" r:id="rId3"/>
    <sheet name="Cadastrar Produtos e Serviços" sheetId="3" r:id="rId4"/>
    <sheet name="Dashboard Financeiro" sheetId="6" r:id="rId5"/>
    <sheet name="Relatório de Devedores" sheetId="5" r:id="rId6"/>
    <sheet name="Base de Clientes" sheetId="7" r:id="rId7"/>
    <sheet name="Base de Produtos e Serviços" sheetId="8" r:id="rId8"/>
    <sheet name="Base de Recebimentos" sheetId="10" r:id="rId9"/>
    <sheet name="Base de Vendas" sheetId="9" r:id="rId10"/>
  </sheets>
  <definedNames>
    <definedName name="_xlpm.colFilt" hidden="1" xlm="1">#NAME?</definedName>
    <definedName name="_xlpm.dados" hidden="1" xlm="1">#NAME?</definedName>
    <definedName name="_xlpm.linhas" hidden="1" xlm="1">#NAME?</definedName>
    <definedName name="_xlpm.pos" hidden="1" xlm="1">#NAME?</definedName>
  </definedNames>
  <calcPr calcId="191029"/>
  <pivotCaches>
    <pivotCache cacheId="0" r:id="rId11"/>
    <pivotCache cacheId="1" r:id="rId12"/>
    <pivotCache cacheId="2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5" i="6" l="1" a="1"/>
  <c r="U5" i="6" s="1"/>
  <c r="A6" i="5" a="1"/>
  <c r="A6" i="5" s="1"/>
  <c r="C13" i="4"/>
  <c r="AG5" i="6"/>
  <c r="AH5" i="6"/>
  <c r="B22" i="4"/>
  <c r="D2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<sst xmlns="http://schemas.openxmlformats.org/spreadsheetml/2006/main" count="117" uniqueCount="74">
  <si>
    <t>CPF/CNPJ</t>
  </si>
  <si>
    <t>Nome</t>
  </si>
  <si>
    <t>Telefone</t>
  </si>
  <si>
    <t>E-mail</t>
  </si>
  <si>
    <t>Cidade</t>
  </si>
  <si>
    <t xml:space="preserve">   Cadastro de Cliente</t>
  </si>
  <si>
    <t xml:space="preserve">     Nome </t>
  </si>
  <si>
    <t xml:space="preserve">     CPF/CNPJ</t>
  </si>
  <si>
    <t xml:space="preserve">     Telefone</t>
  </si>
  <si>
    <t xml:space="preserve">     E-mail</t>
  </si>
  <si>
    <t xml:space="preserve">     Cidade</t>
  </si>
  <si>
    <t>Código</t>
  </si>
  <si>
    <t>Tipo</t>
  </si>
  <si>
    <t>Preço Unitário</t>
  </si>
  <si>
    <t xml:space="preserve">   Cadastro de Produtos e Serviços</t>
  </si>
  <si>
    <t xml:space="preserve">     Código </t>
  </si>
  <si>
    <t xml:space="preserve">     Nome</t>
  </si>
  <si>
    <t xml:space="preserve">     Tipo</t>
  </si>
  <si>
    <t xml:space="preserve">     Preço Unitário</t>
  </si>
  <si>
    <t>Produto</t>
  </si>
  <si>
    <t>Serviço</t>
  </si>
  <si>
    <t xml:space="preserve">   Cadastro de Venda</t>
  </si>
  <si>
    <t xml:space="preserve">     Data</t>
  </si>
  <si>
    <t xml:space="preserve">     Quantidade</t>
  </si>
  <si>
    <t xml:space="preserve">     </t>
  </si>
  <si>
    <t xml:space="preserve">     Valor Unitário</t>
  </si>
  <si>
    <t xml:space="preserve">     Valor Total</t>
  </si>
  <si>
    <t xml:space="preserve">   Cadastro de Recebimentos</t>
  </si>
  <si>
    <t xml:space="preserve">     Data </t>
  </si>
  <si>
    <t>Cliente</t>
  </si>
  <si>
    <t>Data</t>
  </si>
  <si>
    <t>Quantidade</t>
  </si>
  <si>
    <t>Valor Unitário</t>
  </si>
  <si>
    <t>Valor Total</t>
  </si>
  <si>
    <t>Valor Recebido</t>
  </si>
  <si>
    <t>Forma de Pagamento</t>
  </si>
  <si>
    <t xml:space="preserve">     CPF/CNPJ </t>
  </si>
  <si>
    <t>Código do Produto ou Serviço</t>
  </si>
  <si>
    <t xml:space="preserve">     Cliente</t>
  </si>
  <si>
    <t xml:space="preserve">     Forma de Pagamento</t>
  </si>
  <si>
    <t>Código do Serviço ou Produto</t>
  </si>
  <si>
    <t>PIX</t>
  </si>
  <si>
    <t>Cartão de Crédito</t>
  </si>
  <si>
    <t>Cartão de Débito</t>
  </si>
  <si>
    <t>Outros</t>
  </si>
  <si>
    <t xml:space="preserve">                            CPF/CNPJ</t>
  </si>
  <si>
    <t>gustavosantosteixeira00@gmail.com</t>
  </si>
  <si>
    <t>Status</t>
  </si>
  <si>
    <t>Não Pago</t>
  </si>
  <si>
    <t xml:space="preserve">     Valor </t>
  </si>
  <si>
    <t/>
  </si>
  <si>
    <t>Gustavo Santos Teixeira</t>
  </si>
  <si>
    <t>Jataí-GO</t>
  </si>
  <si>
    <t>Rótulos de Linha</t>
  </si>
  <si>
    <t>Total Geral</t>
  </si>
  <si>
    <t>Soma de Valor Total</t>
  </si>
  <si>
    <t>(vazio)</t>
  </si>
  <si>
    <t>Devedores</t>
  </si>
  <si>
    <t>Recebidos</t>
  </si>
  <si>
    <t>Soma de Devedores</t>
  </si>
  <si>
    <t>Soma de Recebidos</t>
  </si>
  <si>
    <t>Maiores Vendas</t>
  </si>
  <si>
    <t>Lucro e Custo</t>
  </si>
  <si>
    <t>Soma de Quantidade</t>
  </si>
  <si>
    <t>Produto ou serviço mais vendido</t>
  </si>
  <si>
    <t>Produto ou Serviço</t>
  </si>
  <si>
    <t xml:space="preserve">     Serviço ou Produto</t>
  </si>
  <si>
    <t xml:space="preserve">                  Quatro Produtos ou Serviços Mais Vendidos</t>
  </si>
  <si>
    <t xml:space="preserve">          Maiores Vendas</t>
  </si>
  <si>
    <t xml:space="preserve">                                 Custo e Lucro</t>
  </si>
  <si>
    <t>29475937495832</t>
  </si>
  <si>
    <t>Camisa Polo</t>
  </si>
  <si>
    <t>03116691150</t>
  </si>
  <si>
    <t>64999971724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</si>
</sst>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9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3" tint="9.9978637043366805E-2"/>
      <name val="Aptos Narrow"/>
      <family val="2"/>
      <scheme val="minor"/>
    </font>
    <font>
      <u/>
      <sz val="11"/>
      <name val="Aptos Narrow"/>
      <family val="2"/>
      <scheme val="minor"/>
    </font>
    <font>
      <sz val="12"/>
      <color theme="0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2" fillId="2" borderId="0" xfId="0" applyFont="1" applyFill="1"/>
    <xf numFmtId="0" fontId="1" fillId="3" borderId="0" xfId="0" applyFont="1" applyFill="1"/>
    <xf numFmtId="0" fontId="3" fillId="2" borderId="0" xfId="0" applyFont="1" applyFill="1"/>
    <xf numFmtId="0" fontId="3" fillId="2" borderId="0" xfId="0" applyFont="1" applyFill="1" applyAlignment="1"/>
    <xf numFmtId="0" fontId="3" fillId="2" borderId="0" xfId="0" applyFont="1" applyFill="1" applyAlignment="1">
      <alignment horizontal="center"/>
    </xf>
    <xf numFmtId="0" fontId="0" fillId="2" borderId="0" xfId="0" applyFill="1" applyAlignment="1"/>
    <xf numFmtId="0" fontId="0" fillId="2" borderId="0" xfId="0" applyFont="1" applyFill="1"/>
    <xf numFmtId="0" fontId="0" fillId="2" borderId="0" xfId="0" applyFont="1" applyFill="1" applyAlignment="1">
      <alignment horizontal="center"/>
    </xf>
    <xf numFmtId="0" fontId="6" fillId="2" borderId="0" xfId="0" applyFont="1" applyFill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4" fontId="5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0" fontId="1" fillId="2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4" fontId="0" fillId="0" borderId="0" xfId="0" applyNumberFormat="1" applyAlignment="1">
      <alignment horizontal="left"/>
    </xf>
    <xf numFmtId="4" fontId="3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49" fontId="3" fillId="2" borderId="0" xfId="0" applyNumberFormat="1" applyFont="1" applyFill="1"/>
    <xf numFmtId="49" fontId="3" fillId="2" borderId="0" xfId="0" applyNumberFormat="1" applyFont="1" applyFill="1" applyAlignment="1">
      <alignment horizontal="center"/>
    </xf>
    <xf numFmtId="49" fontId="0" fillId="2" borderId="0" xfId="0" applyNumberFormat="1" applyFont="1" applyFill="1"/>
    <xf numFmtId="49" fontId="0" fillId="2" borderId="0" xfId="0" applyNumberFormat="1" applyFont="1" applyFill="1" applyAlignment="1">
      <alignment horizontal="center"/>
    </xf>
    <xf numFmtId="49" fontId="0" fillId="0" borderId="0" xfId="0" applyNumberFormat="1"/>
    <xf numFmtId="49" fontId="5" fillId="0" borderId="0" xfId="0" applyNumberFormat="1" applyFont="1" applyAlignment="1">
      <alignment horizontal="left"/>
    </xf>
    <xf numFmtId="49" fontId="0" fillId="3" borderId="0" xfId="0" applyNumberFormat="1" applyFill="1" applyAlignment="1">
      <alignment horizontal="center"/>
    </xf>
    <xf numFmtId="0" fontId="0" fillId="0" borderId="0" xfId="0" pivotButton="1"/>
    <xf numFmtId="0" fontId="0" fillId="0" borderId="0" xfId="0" applyNumberFormat="1"/>
    <xf numFmtId="0" fontId="7" fillId="0" borderId="0" xfId="0" applyFont="1" applyAlignment="1">
      <alignment horizontal="left"/>
    </xf>
    <xf numFmtId="0" fontId="0" fillId="4" borderId="0" xfId="0" applyFill="1"/>
    <xf numFmtId="14" fontId="3" fillId="0" borderId="0" xfId="0" applyNumberFormat="1" applyFont="1" applyAlignment="1">
      <alignment horizontal="left"/>
    </xf>
    <xf numFmtId="14" fontId="0" fillId="0" borderId="0" xfId="0" applyNumberFormat="1"/>
    <xf numFmtId="4" fontId="0" fillId="0" borderId="0" xfId="0" applyNumberFormat="1"/>
    <xf numFmtId="49" fontId="6" fillId="2" borderId="0" xfId="0" applyNumberFormat="1" applyFont="1" applyFill="1"/>
    <xf numFmtId="0" fontId="8" fillId="4" borderId="0" xfId="0" applyFont="1" applyFill="1"/>
    <xf numFmtId="0" fontId="0" fillId="4" borderId="0" xfId="0" applyFill="1" applyBorder="1"/>
    <xf numFmtId="49" fontId="4" fillId="3" borderId="0" xfId="1" applyNumberFormat="1" applyFill="1" applyAlignment="1">
      <alignment horizontal="center"/>
    </xf>
    <xf numFmtId="49" fontId="3" fillId="3" borderId="0" xfId="0" applyNumberFormat="1" applyFont="1" applyFill="1" applyAlignment="1">
      <alignment horizontal="center"/>
    </xf>
    <xf numFmtId="164" fontId="0" fillId="3" borderId="0" xfId="0" applyNumberFormat="1" applyFont="1" applyFill="1" applyAlignment="1">
      <alignment horizontal="center"/>
    </xf>
    <xf numFmtId="0" fontId="0" fillId="3" borderId="0" xfId="0" quotePrefix="1" applyFont="1" applyFill="1" applyAlignment="1">
      <alignment horizontal="center"/>
    </xf>
    <xf numFmtId="14" fontId="3" fillId="3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0" fontId="3" fillId="3" borderId="0" xfId="0" applyFont="1" applyFill="1" applyAlignment="1">
      <alignment horizontal="center"/>
    </xf>
    <xf numFmtId="49" fontId="0" fillId="3" borderId="0" xfId="0" applyNumberFormat="1" applyFont="1" applyFill="1" applyAlignment="1">
      <alignment horizontal="center"/>
    </xf>
    <xf numFmtId="14" fontId="0" fillId="3" borderId="0" xfId="0" applyNumberFormat="1" applyFont="1" applyFill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Vendas e Custos.xlsm]Dashboard Financeiro!Tabela dinâmica5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Financeiro'!$AE$4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'Dashboard Financeiro'!$AD$5:$AD$7</c:f>
              <c:strCache>
                <c:ptCount val="2"/>
                <c:pt idx="0">
                  <c:v>(vazio)</c:v>
                </c:pt>
                <c:pt idx="1">
                  <c:v>Gustavo Santos Teixeira</c:v>
                </c:pt>
              </c:strCache>
            </c:strRef>
          </c:cat>
          <c:val>
            <c:numRef>
              <c:f>'Dashboard Financeiro'!$AE$5:$AE$7</c:f>
              <c:numCache>
                <c:formatCode>General</c:formatCode>
                <c:ptCount val="2"/>
                <c:pt idx="1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B1-418C-A378-E7D83BBFC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59148336"/>
        <c:axId val="1159154096"/>
      </c:barChart>
      <c:catAx>
        <c:axId val="115914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9154096"/>
        <c:crosses val="autoZero"/>
        <c:auto val="1"/>
        <c:lblAlgn val="ctr"/>
        <c:lblOffset val="100"/>
        <c:noMultiLvlLbl val="0"/>
      </c:catAx>
      <c:valAx>
        <c:axId val="115915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914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50000"/>
      </a:schemeClr>
    </a:soli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Vendas e Custos.xlsm]Dashboard Financeiro!Tabela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Financeiro'!$AJ$4</c:f>
              <c:strCache>
                <c:ptCount val="1"/>
                <c:pt idx="0">
                  <c:v>Soma de Devedores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'Dashboard Financeiro'!$AJ$5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'Dashboard Financeiro'!$AJ$5</c:f>
              <c:numCache>
                <c:formatCode>General</c:formatCode>
                <c:ptCount val="1"/>
                <c:pt idx="0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6F-46E0-9125-1F0F98B29E09}"/>
            </c:ext>
          </c:extLst>
        </c:ser>
        <c:ser>
          <c:idx val="1"/>
          <c:order val="1"/>
          <c:tx>
            <c:strRef>
              <c:f>'Dashboard Financeiro'!$AK$4</c:f>
              <c:strCache>
                <c:ptCount val="1"/>
                <c:pt idx="0">
                  <c:v>Soma de Recebidos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'Dashboard Financeiro'!$AJ$5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'Dashboard Financeiro'!$AK$5</c:f>
              <c:numCache>
                <c:formatCode>General</c:formatCode>
                <c:ptCount val="1"/>
                <c:pt idx="0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6F-46E0-9125-1F0F98B29E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997043600"/>
        <c:axId val="997041680"/>
      </c:barChart>
      <c:catAx>
        <c:axId val="9970436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7041680"/>
        <c:crosses val="autoZero"/>
        <c:auto val="1"/>
        <c:lblAlgn val="ctr"/>
        <c:lblOffset val="100"/>
        <c:noMultiLvlLbl val="0"/>
      </c:catAx>
      <c:valAx>
        <c:axId val="99704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  <a:p>
                <a:pPr>
                  <a:defRPr/>
                </a:pP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7043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199038324808919"/>
          <c:y val="0.40245678967548409"/>
          <c:w val="0.24166641465534824"/>
          <c:h val="0.217392715638877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50000"/>
      </a:schemeClr>
    </a:soli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Vendas e Custos.xlsm]Dashboard Financeiro!Tabela dinâmica4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9483814523184588E-2"/>
          <c:y val="6.9369061425461356E-2"/>
          <c:w val="0.78021981627296588"/>
          <c:h val="0.731660054121141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'Dashboard Financeiro'!$AN$4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'Dashboard Financeiro'!$AM$5:$AM$7</c:f>
              <c:strCache>
                <c:ptCount val="2"/>
                <c:pt idx="0">
                  <c:v>Camisa Polo</c:v>
                </c:pt>
                <c:pt idx="1">
                  <c:v>(vazio)</c:v>
                </c:pt>
              </c:strCache>
            </c:strRef>
          </c:cat>
          <c:val>
            <c:numRef>
              <c:f>'Dashboard Financeiro'!$AN$5:$AN$7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01-4DBD-A6CA-36EB4C111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41169312"/>
        <c:axId val="841171232"/>
      </c:barChart>
      <c:catAx>
        <c:axId val="84116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1171232"/>
        <c:crosses val="autoZero"/>
        <c:auto val="1"/>
        <c:lblAlgn val="ctr"/>
        <c:lblOffset val="100"/>
        <c:noMultiLvlLbl val="0"/>
      </c:catAx>
      <c:valAx>
        <c:axId val="8411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116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50000"/>
      </a:schemeClr>
    </a:soli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1</xdr:row>
      <xdr:rowOff>66675</xdr:rowOff>
    </xdr:from>
    <xdr:to>
      <xdr:col>9</xdr:col>
      <xdr:colOff>76201</xdr:colOff>
      <xdr:row>20</xdr:row>
      <xdr:rowOff>104775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5AB294-52C6-87BC-84B5-F1D338C6D544}"/>
            </a:ext>
          </a:extLst>
        </xdr:cNvPr>
        <xdr:cNvSpPr/>
      </xdr:nvSpPr>
      <xdr:spPr>
        <a:xfrm>
          <a:off x="676275" y="247650"/>
          <a:ext cx="5572126" cy="3476625"/>
        </a:xfrm>
        <a:prstGeom prst="roundRect">
          <a:avLst>
            <a:gd name="adj" fmla="val 9544"/>
          </a:avLst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/>
            <a:t>Menu</a:t>
          </a:r>
        </a:p>
      </xdr:txBody>
    </xdr:sp>
    <xdr:clientData/>
  </xdr:twoCellAnchor>
  <xdr:twoCellAnchor>
    <xdr:from>
      <xdr:col>1</xdr:col>
      <xdr:colOff>361950</xdr:colOff>
      <xdr:row>5</xdr:row>
      <xdr:rowOff>57150</xdr:rowOff>
    </xdr:from>
    <xdr:to>
      <xdr:col>4</xdr:col>
      <xdr:colOff>485775</xdr:colOff>
      <xdr:row>7</xdr:row>
      <xdr:rowOff>38100</xdr:rowOff>
    </xdr:to>
    <xdr:sp macro="[0]!Planilha1.IrParaCliente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ED00535-5452-0876-19C6-8B805EC8032F}"/>
            </a:ext>
          </a:extLst>
        </xdr:cNvPr>
        <xdr:cNvSpPr/>
      </xdr:nvSpPr>
      <xdr:spPr>
        <a:xfrm>
          <a:off x="1047750" y="962025"/>
          <a:ext cx="2181225" cy="34290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Cadastrar</a:t>
          </a:r>
          <a:r>
            <a:rPr lang="pt-BR" sz="1100" baseline="0"/>
            <a:t> </a:t>
          </a:r>
          <a:r>
            <a:rPr lang="pt-BR" sz="1100"/>
            <a:t>Clientes</a:t>
          </a:r>
        </a:p>
      </xdr:txBody>
    </xdr:sp>
    <xdr:clientData/>
  </xdr:twoCellAnchor>
  <xdr:twoCellAnchor>
    <xdr:from>
      <xdr:col>1</xdr:col>
      <xdr:colOff>371475</xdr:colOff>
      <xdr:row>7</xdr:row>
      <xdr:rowOff>171450</xdr:rowOff>
    </xdr:from>
    <xdr:to>
      <xdr:col>4</xdr:col>
      <xdr:colOff>485775</xdr:colOff>
      <xdr:row>9</xdr:row>
      <xdr:rowOff>152400</xdr:rowOff>
    </xdr:to>
    <xdr:sp macro="[0]!Planilha1.IrParaProdutosEServic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AC4D28A-C196-4981-AE21-F8EB22604458}"/>
            </a:ext>
          </a:extLst>
        </xdr:cNvPr>
        <xdr:cNvSpPr/>
      </xdr:nvSpPr>
      <xdr:spPr>
        <a:xfrm>
          <a:off x="1057275" y="1438275"/>
          <a:ext cx="2171700" cy="34290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Cadastrar</a:t>
          </a:r>
          <a:r>
            <a:rPr lang="pt-BR" sz="1100" baseline="0"/>
            <a:t> </a:t>
          </a:r>
          <a:r>
            <a:rPr lang="pt-BR" sz="1100"/>
            <a:t>Produtos</a:t>
          </a:r>
          <a:r>
            <a:rPr lang="pt-BR" sz="1100" baseline="0"/>
            <a:t> e Serviços</a:t>
          </a:r>
        </a:p>
        <a:p>
          <a:pPr algn="ctr"/>
          <a:endParaRPr lang="pt-BR" sz="1100"/>
        </a:p>
      </xdr:txBody>
    </xdr:sp>
    <xdr:clientData/>
  </xdr:twoCellAnchor>
  <xdr:twoCellAnchor>
    <xdr:from>
      <xdr:col>1</xdr:col>
      <xdr:colOff>371475</xdr:colOff>
      <xdr:row>10</xdr:row>
      <xdr:rowOff>133349</xdr:rowOff>
    </xdr:from>
    <xdr:to>
      <xdr:col>4</xdr:col>
      <xdr:colOff>485775</xdr:colOff>
      <xdr:row>12</xdr:row>
      <xdr:rowOff>133350</xdr:rowOff>
    </xdr:to>
    <xdr:sp macro="[0]!Planilha1.IrParaVendasERecebiment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8EDB5B8-CB3C-4A16-B931-FC583EEAF62A}"/>
            </a:ext>
          </a:extLst>
        </xdr:cNvPr>
        <xdr:cNvSpPr/>
      </xdr:nvSpPr>
      <xdr:spPr>
        <a:xfrm>
          <a:off x="1057275" y="1943099"/>
          <a:ext cx="2171700" cy="361951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Cadastrar</a:t>
          </a:r>
          <a:r>
            <a:rPr lang="pt-BR" sz="1100" baseline="0"/>
            <a:t> </a:t>
          </a:r>
          <a:r>
            <a:rPr lang="pt-BR" sz="1100"/>
            <a:t>Vendas</a:t>
          </a:r>
          <a:r>
            <a:rPr lang="pt-BR" sz="1100" baseline="0"/>
            <a:t> e Recebimentos</a:t>
          </a:r>
          <a:endParaRPr lang="pt-BR" sz="1100"/>
        </a:p>
      </xdr:txBody>
    </xdr:sp>
    <xdr:clientData/>
  </xdr:twoCellAnchor>
  <xdr:twoCellAnchor>
    <xdr:from>
      <xdr:col>1</xdr:col>
      <xdr:colOff>390525</xdr:colOff>
      <xdr:row>13</xdr:row>
      <xdr:rowOff>123824</xdr:rowOff>
    </xdr:from>
    <xdr:to>
      <xdr:col>4</xdr:col>
      <xdr:colOff>476250</xdr:colOff>
      <xdr:row>15</xdr:row>
      <xdr:rowOff>104774</xdr:rowOff>
    </xdr:to>
    <xdr:sp macro="[0]!Planilha1.IrParaDevedore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4377D6EA-C75A-4186-9335-FE33C5AF73CC}"/>
            </a:ext>
          </a:extLst>
        </xdr:cNvPr>
        <xdr:cNvSpPr/>
      </xdr:nvSpPr>
      <xdr:spPr>
        <a:xfrm>
          <a:off x="1076325" y="2476499"/>
          <a:ext cx="2143125" cy="34290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Relatório de Devedores</a:t>
          </a:r>
        </a:p>
      </xdr:txBody>
    </xdr:sp>
    <xdr:clientData/>
  </xdr:twoCellAnchor>
  <xdr:twoCellAnchor>
    <xdr:from>
      <xdr:col>1</xdr:col>
      <xdr:colOff>409575</xdr:colOff>
      <xdr:row>16</xdr:row>
      <xdr:rowOff>114299</xdr:rowOff>
    </xdr:from>
    <xdr:to>
      <xdr:col>4</xdr:col>
      <xdr:colOff>476250</xdr:colOff>
      <xdr:row>18</xdr:row>
      <xdr:rowOff>95249</xdr:rowOff>
    </xdr:to>
    <xdr:sp macro="[0]!Planilha1.IrParaDashboardFinanceir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DC1EAEC4-46BC-49CB-9BE2-42F6538204D1}"/>
            </a:ext>
          </a:extLst>
        </xdr:cNvPr>
        <xdr:cNvSpPr/>
      </xdr:nvSpPr>
      <xdr:spPr>
        <a:xfrm>
          <a:off x="1095375" y="3009899"/>
          <a:ext cx="2124075" cy="34290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Dashboard</a:t>
          </a:r>
          <a:r>
            <a:rPr lang="pt-BR" sz="1100" baseline="0"/>
            <a:t> Financeiro</a:t>
          </a:r>
          <a:endParaRPr lang="pt-BR" sz="1100"/>
        </a:p>
      </xdr:txBody>
    </xdr:sp>
    <xdr:clientData/>
  </xdr:twoCellAnchor>
  <xdr:twoCellAnchor>
    <xdr:from>
      <xdr:col>5</xdr:col>
      <xdr:colOff>180975</xdr:colOff>
      <xdr:row>5</xdr:row>
      <xdr:rowOff>57150</xdr:rowOff>
    </xdr:from>
    <xdr:to>
      <xdr:col>8</xdr:col>
      <xdr:colOff>304800</xdr:colOff>
      <xdr:row>7</xdr:row>
      <xdr:rowOff>38100</xdr:rowOff>
    </xdr:to>
    <xdr:sp macro="[0]!Planilha1.IrParaBasedeClient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59609F43-225E-43A6-97E6-FB18F37CF1C7}"/>
            </a:ext>
          </a:extLst>
        </xdr:cNvPr>
        <xdr:cNvSpPr/>
      </xdr:nvSpPr>
      <xdr:spPr>
        <a:xfrm>
          <a:off x="3609975" y="962025"/>
          <a:ext cx="2181225" cy="34290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aseline="0"/>
            <a:t>Base de </a:t>
          </a:r>
          <a:r>
            <a:rPr lang="pt-BR" sz="1100"/>
            <a:t>Clientes</a:t>
          </a:r>
        </a:p>
      </xdr:txBody>
    </xdr:sp>
    <xdr:clientData/>
  </xdr:twoCellAnchor>
  <xdr:twoCellAnchor>
    <xdr:from>
      <xdr:col>5</xdr:col>
      <xdr:colOff>190500</xdr:colOff>
      <xdr:row>8</xdr:row>
      <xdr:rowOff>0</xdr:rowOff>
    </xdr:from>
    <xdr:to>
      <xdr:col>8</xdr:col>
      <xdr:colOff>314325</xdr:colOff>
      <xdr:row>9</xdr:row>
      <xdr:rowOff>161925</xdr:rowOff>
    </xdr:to>
    <xdr:sp macro="[0]!Planilha1.IrParaBaseDeProdutosEServic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D4E5C7C-07AA-4152-B10B-FA951BD5AE03}"/>
            </a:ext>
          </a:extLst>
        </xdr:cNvPr>
        <xdr:cNvSpPr/>
      </xdr:nvSpPr>
      <xdr:spPr>
        <a:xfrm>
          <a:off x="3619500" y="1447800"/>
          <a:ext cx="2181225" cy="34290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Base</a:t>
          </a:r>
          <a:r>
            <a:rPr lang="pt-BR" sz="1100" baseline="0"/>
            <a:t> de Produtos e Serviços</a:t>
          </a:r>
          <a:endParaRPr lang="pt-BR" sz="1100"/>
        </a:p>
      </xdr:txBody>
    </xdr:sp>
    <xdr:clientData/>
  </xdr:twoCellAnchor>
  <xdr:twoCellAnchor>
    <xdr:from>
      <xdr:col>5</xdr:col>
      <xdr:colOff>190499</xdr:colOff>
      <xdr:row>10</xdr:row>
      <xdr:rowOff>133350</xdr:rowOff>
    </xdr:from>
    <xdr:to>
      <xdr:col>8</xdr:col>
      <xdr:colOff>314324</xdr:colOff>
      <xdr:row>12</xdr:row>
      <xdr:rowOff>114300</xdr:rowOff>
    </xdr:to>
    <xdr:sp macro="[0]!Planilha1.IrParaBasedeVenda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8A0FEA1A-7B6C-456F-8B84-CAD699A64FE9}"/>
            </a:ext>
          </a:extLst>
        </xdr:cNvPr>
        <xdr:cNvSpPr/>
      </xdr:nvSpPr>
      <xdr:spPr>
        <a:xfrm>
          <a:off x="3619499" y="1943100"/>
          <a:ext cx="2181225" cy="34290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Base</a:t>
          </a:r>
          <a:r>
            <a:rPr lang="pt-BR" sz="1100" baseline="0"/>
            <a:t> de Vendas</a:t>
          </a:r>
          <a:endParaRPr lang="pt-BR" sz="1100"/>
        </a:p>
      </xdr:txBody>
    </xdr:sp>
    <xdr:clientData/>
  </xdr:twoCellAnchor>
  <xdr:twoCellAnchor>
    <xdr:from>
      <xdr:col>5</xdr:col>
      <xdr:colOff>190499</xdr:colOff>
      <xdr:row>13</xdr:row>
      <xdr:rowOff>114300</xdr:rowOff>
    </xdr:from>
    <xdr:to>
      <xdr:col>8</xdr:col>
      <xdr:colOff>314324</xdr:colOff>
      <xdr:row>15</xdr:row>
      <xdr:rowOff>95250</xdr:rowOff>
    </xdr:to>
    <xdr:sp macro="[0]!Planilha1.IrParaBasedeRecebime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C6575B2-CDE4-411A-83C8-8C915EF23D45}"/>
            </a:ext>
          </a:extLst>
        </xdr:cNvPr>
        <xdr:cNvSpPr/>
      </xdr:nvSpPr>
      <xdr:spPr>
        <a:xfrm>
          <a:off x="3619499" y="2466975"/>
          <a:ext cx="2181225" cy="34290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Base</a:t>
          </a:r>
          <a:r>
            <a:rPr lang="pt-BR" sz="1100" baseline="0"/>
            <a:t> de Recebimentos</a:t>
          </a:r>
          <a:endParaRPr lang="pt-BR" sz="1100"/>
        </a:p>
      </xdr:txBody>
    </xdr:sp>
    <xdr:clientData/>
  </xdr:twoCellAnchor>
  <xdr:twoCellAnchor>
    <xdr:from>
      <xdr:col>5</xdr:col>
      <xdr:colOff>200025</xdr:colOff>
      <xdr:row>16</xdr:row>
      <xdr:rowOff>95250</xdr:rowOff>
    </xdr:from>
    <xdr:to>
      <xdr:col>8</xdr:col>
      <xdr:colOff>266700</xdr:colOff>
      <xdr:row>18</xdr:row>
      <xdr:rowOff>76200</xdr:rowOff>
    </xdr:to>
    <xdr:sp macro="[0]!Planilha1.AlternarTelaChei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B5402D1-A7F4-4367-8472-E2258BCCC252}"/>
            </a:ext>
          </a:extLst>
        </xdr:cNvPr>
        <xdr:cNvSpPr/>
      </xdr:nvSpPr>
      <xdr:spPr>
        <a:xfrm>
          <a:off x="3629025" y="2990850"/>
          <a:ext cx="2124075" cy="34290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Tela</a:t>
          </a:r>
          <a:r>
            <a:rPr lang="pt-BR" sz="1100" baseline="0"/>
            <a:t> Cheia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17</xdr:row>
      <xdr:rowOff>76200</xdr:rowOff>
    </xdr:from>
    <xdr:to>
      <xdr:col>6</xdr:col>
      <xdr:colOff>676274</xdr:colOff>
      <xdr:row>19</xdr:row>
      <xdr:rowOff>66675</xdr:rowOff>
    </xdr:to>
    <xdr:sp macro="[0]!Planilha2.CopiarParaBaseDeClien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532E1C3-38FF-EA0C-284A-94FC8B7B5E3C}"/>
            </a:ext>
          </a:extLst>
        </xdr:cNvPr>
        <xdr:cNvSpPr/>
      </xdr:nvSpPr>
      <xdr:spPr>
        <a:xfrm>
          <a:off x="2076449" y="2686050"/>
          <a:ext cx="2714625" cy="352425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Cadastrar</a:t>
          </a:r>
        </a:p>
      </xdr:txBody>
    </xdr:sp>
    <xdr:clientData/>
  </xdr:twoCellAnchor>
  <xdr:twoCellAnchor>
    <xdr:from>
      <xdr:col>1</xdr:col>
      <xdr:colOff>104775</xdr:colOff>
      <xdr:row>0</xdr:row>
      <xdr:rowOff>114300</xdr:rowOff>
    </xdr:from>
    <xdr:to>
      <xdr:col>2</xdr:col>
      <xdr:colOff>400050</xdr:colOff>
      <xdr:row>2</xdr:row>
      <xdr:rowOff>76200</xdr:rowOff>
    </xdr:to>
    <xdr:sp macro="[0]!Planilha10.IrParaMenu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E273F6A-C70D-1EF0-25CF-92BE6A6A8D53}"/>
            </a:ext>
          </a:extLst>
        </xdr:cNvPr>
        <xdr:cNvSpPr/>
      </xdr:nvSpPr>
      <xdr:spPr>
        <a:xfrm>
          <a:off x="104775" y="114300"/>
          <a:ext cx="981075" cy="32385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2</xdr:col>
      <xdr:colOff>457200</xdr:colOff>
      <xdr:row>0</xdr:row>
      <xdr:rowOff>114300</xdr:rowOff>
    </xdr:from>
    <xdr:to>
      <xdr:col>4</xdr:col>
      <xdr:colOff>295275</xdr:colOff>
      <xdr:row>2</xdr:row>
      <xdr:rowOff>76200</xdr:rowOff>
    </xdr:to>
    <xdr:sp macro="[0]!Planilha1.AlternarTelaChei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1781093-88CC-49FC-8C24-E4AD2AFD56E6}"/>
            </a:ext>
          </a:extLst>
        </xdr:cNvPr>
        <xdr:cNvSpPr/>
      </xdr:nvSpPr>
      <xdr:spPr>
        <a:xfrm>
          <a:off x="1143000" y="114300"/>
          <a:ext cx="1209675" cy="32385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Tela</a:t>
          </a:r>
          <a:r>
            <a:rPr lang="pt-BR" sz="1100" baseline="0"/>
            <a:t> Cheia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38099</xdr:colOff>
      <xdr:row>20</xdr:row>
      <xdr:rowOff>161925</xdr:rowOff>
    </xdr:from>
    <xdr:to>
      <xdr:col>7</xdr:col>
      <xdr:colOff>9524</xdr:colOff>
      <xdr:row>22</xdr:row>
      <xdr:rowOff>152400</xdr:rowOff>
    </xdr:to>
    <xdr:sp macro="[0]!Planilha4.CopiarParaBaseDe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E3807B-CA7A-46CE-A043-40E1DF3C6068}"/>
            </a:ext>
          </a:extLst>
        </xdr:cNvPr>
        <xdr:cNvSpPr/>
      </xdr:nvSpPr>
      <xdr:spPr>
        <a:xfrm>
          <a:off x="2463799" y="3794125"/>
          <a:ext cx="2714625" cy="346075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Cadastrar</a:t>
          </a:r>
        </a:p>
      </xdr:txBody>
    </xdr:sp>
    <xdr:clientData/>
  </xdr:twoCellAnchor>
  <xdr:twoCellAnchor>
    <xdr:from>
      <xdr:col>11</xdr:col>
      <xdr:colOff>35752</xdr:colOff>
      <xdr:row>20</xdr:row>
      <xdr:rowOff>143842</xdr:rowOff>
    </xdr:from>
    <xdr:to>
      <xdr:col>15</xdr:col>
      <xdr:colOff>9662</xdr:colOff>
      <xdr:row>22</xdr:row>
      <xdr:rowOff>134317</xdr:rowOff>
    </xdr:to>
    <xdr:sp macro="[0]!Planilha4.CopiarParaBaseDeRecebimen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FC2B7A1-B957-4E5E-906D-1A7885EBBE30}"/>
            </a:ext>
          </a:extLst>
        </xdr:cNvPr>
        <xdr:cNvSpPr/>
      </xdr:nvSpPr>
      <xdr:spPr>
        <a:xfrm>
          <a:off x="8183768" y="3177347"/>
          <a:ext cx="2707171" cy="342486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Cadastrar</a:t>
          </a:r>
        </a:p>
      </xdr:txBody>
    </xdr:sp>
    <xdr:clientData/>
  </xdr:twoCellAnchor>
  <xdr:twoCellAnchor>
    <xdr:from>
      <xdr:col>1</xdr:col>
      <xdr:colOff>47625</xdr:colOff>
      <xdr:row>0</xdr:row>
      <xdr:rowOff>133350</xdr:rowOff>
    </xdr:from>
    <xdr:to>
      <xdr:col>2</xdr:col>
      <xdr:colOff>228600</xdr:colOff>
      <xdr:row>2</xdr:row>
      <xdr:rowOff>95250</xdr:rowOff>
    </xdr:to>
    <xdr:sp macro="[0]!Planilha10.IrParaMenu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628F166-66BA-496A-90EE-91620087B7A8}"/>
            </a:ext>
          </a:extLst>
        </xdr:cNvPr>
        <xdr:cNvSpPr/>
      </xdr:nvSpPr>
      <xdr:spPr>
        <a:xfrm>
          <a:off x="285750" y="133350"/>
          <a:ext cx="866775" cy="32385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2</xdr:col>
      <xdr:colOff>312669</xdr:colOff>
      <xdr:row>0</xdr:row>
      <xdr:rowOff>133350</xdr:rowOff>
    </xdr:from>
    <xdr:to>
      <xdr:col>3</xdr:col>
      <xdr:colOff>31060</xdr:colOff>
      <xdr:row>2</xdr:row>
      <xdr:rowOff>95250</xdr:rowOff>
    </xdr:to>
    <xdr:sp macro="[0]!Planilha1.AlternarTelaChei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BF4E2C6-AC0D-4AB7-A53F-8C3250E9A36E}"/>
            </a:ext>
          </a:extLst>
        </xdr:cNvPr>
        <xdr:cNvSpPr/>
      </xdr:nvSpPr>
      <xdr:spPr>
        <a:xfrm>
          <a:off x="1099517" y="133350"/>
          <a:ext cx="1209260" cy="313911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Tela</a:t>
          </a:r>
          <a:r>
            <a:rPr lang="pt-BR" sz="1100" baseline="0"/>
            <a:t> Cheia</a:t>
          </a:r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15</xdr:row>
      <xdr:rowOff>76200</xdr:rowOff>
    </xdr:from>
    <xdr:to>
      <xdr:col>6</xdr:col>
      <xdr:colOff>676274</xdr:colOff>
      <xdr:row>17</xdr:row>
      <xdr:rowOff>66675</xdr:rowOff>
    </xdr:to>
    <xdr:sp macro="[0]!Planilha3.CopiarParaBaseDeProdutosEServiç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F9FE2-D94B-4EED-A9A3-208CBF69FA04}"/>
            </a:ext>
          </a:extLst>
        </xdr:cNvPr>
        <xdr:cNvSpPr/>
      </xdr:nvSpPr>
      <xdr:spPr>
        <a:xfrm>
          <a:off x="2076449" y="2324100"/>
          <a:ext cx="2714625" cy="352425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Cadastrar</a:t>
          </a:r>
        </a:p>
      </xdr:txBody>
    </xdr:sp>
    <xdr:clientData/>
  </xdr:twoCellAnchor>
  <xdr:twoCellAnchor>
    <xdr:from>
      <xdr:col>0</xdr:col>
      <xdr:colOff>200025</xdr:colOff>
      <xdr:row>0</xdr:row>
      <xdr:rowOff>114300</xdr:rowOff>
    </xdr:from>
    <xdr:to>
      <xdr:col>2</xdr:col>
      <xdr:colOff>180975</xdr:colOff>
      <xdr:row>2</xdr:row>
      <xdr:rowOff>76200</xdr:rowOff>
    </xdr:to>
    <xdr:sp macro="[0]!Planilha10.IrParaMenu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7F26656-744A-4D1C-BA77-4238D666076D}"/>
            </a:ext>
          </a:extLst>
        </xdr:cNvPr>
        <xdr:cNvSpPr/>
      </xdr:nvSpPr>
      <xdr:spPr>
        <a:xfrm>
          <a:off x="200025" y="114300"/>
          <a:ext cx="981075" cy="32385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2</xdr:col>
      <xdr:colOff>285750</xdr:colOff>
      <xdr:row>0</xdr:row>
      <xdr:rowOff>114300</xdr:rowOff>
    </xdr:from>
    <xdr:to>
      <xdr:col>4</xdr:col>
      <xdr:colOff>123825</xdr:colOff>
      <xdr:row>2</xdr:row>
      <xdr:rowOff>76200</xdr:rowOff>
    </xdr:to>
    <xdr:sp macro="[0]!Planilha1.AlternarTelaChei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79C1F35-13DD-434B-B697-2ADA4C1B507D}"/>
            </a:ext>
          </a:extLst>
        </xdr:cNvPr>
        <xdr:cNvSpPr/>
      </xdr:nvSpPr>
      <xdr:spPr>
        <a:xfrm>
          <a:off x="1285875" y="114300"/>
          <a:ext cx="1209675" cy="32385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Tela</a:t>
          </a:r>
          <a:r>
            <a:rPr lang="pt-BR" sz="1100" baseline="0"/>
            <a:t> Cheia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114300</xdr:rowOff>
    </xdr:from>
    <xdr:to>
      <xdr:col>1</xdr:col>
      <xdr:colOff>400050</xdr:colOff>
      <xdr:row>2</xdr:row>
      <xdr:rowOff>76200</xdr:rowOff>
    </xdr:to>
    <xdr:sp macro="[0]!Planilha10.IrPara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6F99065-FC43-4A6D-A4EA-2E927A1D5599}"/>
            </a:ext>
          </a:extLst>
        </xdr:cNvPr>
        <xdr:cNvSpPr/>
      </xdr:nvSpPr>
      <xdr:spPr>
        <a:xfrm>
          <a:off x="219075" y="114300"/>
          <a:ext cx="866775" cy="32385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</xdr:col>
      <xdr:colOff>485775</xdr:colOff>
      <xdr:row>0</xdr:row>
      <xdr:rowOff>114300</xdr:rowOff>
    </xdr:from>
    <xdr:to>
      <xdr:col>3</xdr:col>
      <xdr:colOff>323850</xdr:colOff>
      <xdr:row>2</xdr:row>
      <xdr:rowOff>76200</xdr:rowOff>
    </xdr:to>
    <xdr:sp macro="[0]!Planilha1.AlternarTelaChei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4B41AB0-339C-41CF-9FA6-A0A803D70CD4}"/>
            </a:ext>
          </a:extLst>
        </xdr:cNvPr>
        <xdr:cNvSpPr/>
      </xdr:nvSpPr>
      <xdr:spPr>
        <a:xfrm>
          <a:off x="1171575" y="114300"/>
          <a:ext cx="1209675" cy="32385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Tela</a:t>
          </a:r>
          <a:r>
            <a:rPr lang="pt-BR" sz="1100" baseline="0"/>
            <a:t> Cheia</a:t>
          </a:r>
          <a:endParaRPr lang="pt-BR" sz="1100"/>
        </a:p>
      </xdr:txBody>
    </xdr:sp>
    <xdr:clientData/>
  </xdr:twoCellAnchor>
  <xdr:twoCellAnchor>
    <xdr:from>
      <xdr:col>0</xdr:col>
      <xdr:colOff>509587</xdr:colOff>
      <xdr:row>7</xdr:row>
      <xdr:rowOff>0</xdr:rowOff>
    </xdr:from>
    <xdr:to>
      <xdr:col>6</xdr:col>
      <xdr:colOff>442912</xdr:colOff>
      <xdr:row>20</xdr:row>
      <xdr:rowOff>161925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5FF871F3-F295-7B3A-30CE-254F55F50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400050</xdr:colOff>
      <xdr:row>0</xdr:row>
      <xdr:rowOff>114300</xdr:rowOff>
    </xdr:from>
    <xdr:to>
      <xdr:col>5</xdr:col>
      <xdr:colOff>400050</xdr:colOff>
      <xdr:row>2</xdr:row>
      <xdr:rowOff>76200</xdr:rowOff>
    </xdr:to>
    <xdr:sp macro="[0]!Planilha6.AtualizarDashboar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6D20723-74C2-41B7-8B06-DE4547F68F66}"/>
            </a:ext>
          </a:extLst>
        </xdr:cNvPr>
        <xdr:cNvSpPr/>
      </xdr:nvSpPr>
      <xdr:spPr>
        <a:xfrm>
          <a:off x="2457450" y="114300"/>
          <a:ext cx="1371600" cy="32385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Atualizar</a:t>
          </a:r>
          <a:r>
            <a:rPr lang="pt-BR" sz="1100" baseline="0"/>
            <a:t> Dashboard</a:t>
          </a:r>
          <a:endParaRPr lang="pt-BR" sz="1100"/>
        </a:p>
      </xdr:txBody>
    </xdr:sp>
    <xdr:clientData/>
  </xdr:twoCellAnchor>
  <xdr:twoCellAnchor>
    <xdr:from>
      <xdr:col>7</xdr:col>
      <xdr:colOff>290511</xdr:colOff>
      <xdr:row>8</xdr:row>
      <xdr:rowOff>38100</xdr:rowOff>
    </xdr:from>
    <xdr:to>
      <xdr:col>14</xdr:col>
      <xdr:colOff>152400</xdr:colOff>
      <xdr:row>19</xdr:row>
      <xdr:rowOff>9526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DB33604-E755-EFAF-75AC-744D321F77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509587</xdr:colOff>
      <xdr:row>24</xdr:row>
      <xdr:rowOff>38100</xdr:rowOff>
    </xdr:from>
    <xdr:to>
      <xdr:col>7</xdr:col>
      <xdr:colOff>280987</xdr:colOff>
      <xdr:row>37</xdr:row>
      <xdr:rowOff>142875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16C4A53-995D-ADC4-42A7-A726641301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0</xdr:row>
      <xdr:rowOff>133350</xdr:rowOff>
    </xdr:from>
    <xdr:to>
      <xdr:col>1</xdr:col>
      <xdr:colOff>1162050</xdr:colOff>
      <xdr:row>2</xdr:row>
      <xdr:rowOff>95250</xdr:rowOff>
    </xdr:to>
    <xdr:sp macro="[0]!Planilha1.AlternarTelaChei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10DD64B-83D2-4AA3-A964-E54788D50DF9}"/>
            </a:ext>
          </a:extLst>
        </xdr:cNvPr>
        <xdr:cNvSpPr/>
      </xdr:nvSpPr>
      <xdr:spPr>
        <a:xfrm>
          <a:off x="1171575" y="133350"/>
          <a:ext cx="1076325" cy="34290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Tela</a:t>
          </a:r>
          <a:r>
            <a:rPr lang="pt-BR" sz="1100" baseline="0"/>
            <a:t> Cheia</a:t>
          </a:r>
          <a:endParaRPr lang="pt-BR" sz="1100"/>
        </a:p>
      </xdr:txBody>
    </xdr:sp>
    <xdr:clientData/>
  </xdr:twoCellAnchor>
  <xdr:twoCellAnchor>
    <xdr:from>
      <xdr:col>0</xdr:col>
      <xdr:colOff>161925</xdr:colOff>
      <xdr:row>0</xdr:row>
      <xdr:rowOff>123825</xdr:rowOff>
    </xdr:from>
    <xdr:to>
      <xdr:col>0</xdr:col>
      <xdr:colOff>1028700</xdr:colOff>
      <xdr:row>2</xdr:row>
      <xdr:rowOff>85725</xdr:rowOff>
    </xdr:to>
    <xdr:sp macro="[0]!Planilha10.IrParaMenu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8FA0423-A55A-42B6-BD6A-8E2C389BF6AE}"/>
            </a:ext>
          </a:extLst>
        </xdr:cNvPr>
        <xdr:cNvSpPr/>
      </xdr:nvSpPr>
      <xdr:spPr>
        <a:xfrm>
          <a:off x="161925" y="123825"/>
          <a:ext cx="866775" cy="32385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104775</xdr:rowOff>
    </xdr:from>
    <xdr:to>
      <xdr:col>0</xdr:col>
      <xdr:colOff>1009650</xdr:colOff>
      <xdr:row>2</xdr:row>
      <xdr:rowOff>66675</xdr:rowOff>
    </xdr:to>
    <xdr:sp macro="[0]!Planilha10.IrPara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07666-191D-48B2-84FC-E236B979A886}"/>
            </a:ext>
          </a:extLst>
        </xdr:cNvPr>
        <xdr:cNvSpPr/>
      </xdr:nvSpPr>
      <xdr:spPr>
        <a:xfrm>
          <a:off x="142875" y="104775"/>
          <a:ext cx="866775" cy="32385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0</xdr:col>
      <xdr:colOff>1076325</xdr:colOff>
      <xdr:row>0</xdr:row>
      <xdr:rowOff>104775</xdr:rowOff>
    </xdr:from>
    <xdr:to>
      <xdr:col>1</xdr:col>
      <xdr:colOff>295275</xdr:colOff>
      <xdr:row>2</xdr:row>
      <xdr:rowOff>66675</xdr:rowOff>
    </xdr:to>
    <xdr:sp macro="[0]!Planilha1.AlternarTelaChei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762E8D4-1EE5-4FB6-88A1-8BA95C3B5FE7}"/>
            </a:ext>
          </a:extLst>
        </xdr:cNvPr>
        <xdr:cNvSpPr/>
      </xdr:nvSpPr>
      <xdr:spPr>
        <a:xfrm>
          <a:off x="1076325" y="104775"/>
          <a:ext cx="1209675" cy="32385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Tela</a:t>
          </a:r>
          <a:r>
            <a:rPr lang="pt-BR" sz="1100" baseline="0"/>
            <a:t> Cheia</a:t>
          </a:r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142875</xdr:rowOff>
    </xdr:from>
    <xdr:to>
      <xdr:col>0</xdr:col>
      <xdr:colOff>1057275</xdr:colOff>
      <xdr:row>2</xdr:row>
      <xdr:rowOff>104775</xdr:rowOff>
    </xdr:to>
    <xdr:sp macro="[0]!Planilha10.IrPara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6DC033-38D3-4BCC-B0DA-7AF230154434}"/>
            </a:ext>
          </a:extLst>
        </xdr:cNvPr>
        <xdr:cNvSpPr/>
      </xdr:nvSpPr>
      <xdr:spPr>
        <a:xfrm>
          <a:off x="190500" y="142875"/>
          <a:ext cx="866775" cy="32385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0</xdr:col>
      <xdr:colOff>1133475</xdr:colOff>
      <xdr:row>0</xdr:row>
      <xdr:rowOff>142875</xdr:rowOff>
    </xdr:from>
    <xdr:to>
      <xdr:col>1</xdr:col>
      <xdr:colOff>676275</xdr:colOff>
      <xdr:row>2</xdr:row>
      <xdr:rowOff>104775</xdr:rowOff>
    </xdr:to>
    <xdr:sp macro="[0]!Planilha1.AlternarTelaChei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6A4ADDE-5D26-419B-9D4E-CDE9A9A35F77}"/>
            </a:ext>
          </a:extLst>
        </xdr:cNvPr>
        <xdr:cNvSpPr/>
      </xdr:nvSpPr>
      <xdr:spPr>
        <a:xfrm>
          <a:off x="1133475" y="142875"/>
          <a:ext cx="1209675" cy="32385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Tela</a:t>
          </a:r>
          <a:r>
            <a:rPr lang="pt-BR" sz="1100" baseline="0"/>
            <a:t> Cheia</a:t>
          </a:r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123825</xdr:rowOff>
    </xdr:from>
    <xdr:to>
      <xdr:col>1</xdr:col>
      <xdr:colOff>361950</xdr:colOff>
      <xdr:row>2</xdr:row>
      <xdr:rowOff>85725</xdr:rowOff>
    </xdr:to>
    <xdr:sp macro="[0]!Planilha10.IrPara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4ECF01E-989B-4EF1-82B5-6C9251AFBD98}"/>
            </a:ext>
          </a:extLst>
        </xdr:cNvPr>
        <xdr:cNvSpPr/>
      </xdr:nvSpPr>
      <xdr:spPr>
        <a:xfrm>
          <a:off x="180975" y="123825"/>
          <a:ext cx="866775" cy="32385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</xdr:col>
      <xdr:colOff>428625</xdr:colOff>
      <xdr:row>0</xdr:row>
      <xdr:rowOff>123825</xdr:rowOff>
    </xdr:from>
    <xdr:to>
      <xdr:col>1</xdr:col>
      <xdr:colOff>1619250</xdr:colOff>
      <xdr:row>2</xdr:row>
      <xdr:rowOff>85725</xdr:rowOff>
    </xdr:to>
    <xdr:sp macro="[0]!Planilha1.AlternarTelaChei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9320AA-FA98-4338-A890-29B61E173FB3}"/>
            </a:ext>
          </a:extLst>
        </xdr:cNvPr>
        <xdr:cNvSpPr/>
      </xdr:nvSpPr>
      <xdr:spPr>
        <a:xfrm>
          <a:off x="1457325" y="123825"/>
          <a:ext cx="1190625" cy="32385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Tela</a:t>
          </a:r>
          <a:r>
            <a:rPr lang="pt-BR" sz="1100" baseline="0"/>
            <a:t> Cheia</a:t>
          </a:r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114300</xdr:rowOff>
    </xdr:from>
    <xdr:to>
      <xdr:col>0</xdr:col>
      <xdr:colOff>1019175</xdr:colOff>
      <xdr:row>2</xdr:row>
      <xdr:rowOff>76200</xdr:rowOff>
    </xdr:to>
    <xdr:sp macro="[0]!Planilha10.IrPara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A390A8D-5A14-44C6-B212-E7641D12080E}"/>
            </a:ext>
          </a:extLst>
        </xdr:cNvPr>
        <xdr:cNvSpPr/>
      </xdr:nvSpPr>
      <xdr:spPr>
        <a:xfrm>
          <a:off x="152400" y="114300"/>
          <a:ext cx="866775" cy="32385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</xdr:col>
      <xdr:colOff>104775</xdr:colOff>
      <xdr:row>0</xdr:row>
      <xdr:rowOff>104775</xdr:rowOff>
    </xdr:from>
    <xdr:to>
      <xdr:col>1</xdr:col>
      <xdr:colOff>1276350</xdr:colOff>
      <xdr:row>2</xdr:row>
      <xdr:rowOff>66675</xdr:rowOff>
    </xdr:to>
    <xdr:sp macro="[0]!Planilha1.AlternarTelaChei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25F34B1-EDBA-4514-930B-DC181A0E8FBD}"/>
            </a:ext>
          </a:extLst>
        </xdr:cNvPr>
        <xdr:cNvSpPr/>
      </xdr:nvSpPr>
      <xdr:spPr>
        <a:xfrm>
          <a:off x="1104900" y="104775"/>
          <a:ext cx="1171575" cy="34290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Tela</a:t>
          </a:r>
          <a:r>
            <a:rPr lang="pt-BR" sz="1100" baseline="0"/>
            <a:t> Cheia</a:t>
          </a:r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stavo Santos" refreshedDate="45857.722381134263" createdVersion="8" refreshedVersion="8" minRefreshableVersion="3" recordCount="4" xr:uid="{BC53EE5F-BF90-4C19-92A8-1A93A1CB304D}">
  <cacheSource type="worksheet">
    <worksheetSource ref="U4:AB8" sheet="Dashboard Financeiro"/>
  </cacheSource>
  <cacheFields count="8">
    <cacheField name="Cliente" numFmtId="0">
      <sharedItems containsBlank="1"/>
    </cacheField>
    <cacheField name="Produto ou Serviço" numFmtId="0">
      <sharedItems containsBlank="1" count="4">
        <s v="Camisa Polo"/>
        <m/>
        <s v="Limpeza" u="1"/>
        <s v="Banhar Cachorro" u="1"/>
      </sharedItems>
    </cacheField>
    <cacheField name="Data" numFmtId="14">
      <sharedItems containsNonDate="0" containsDate="1" containsString="0" containsBlank="1" minDate="2003-10-17T00:00:00" maxDate="2003-10-18T00:00:00"/>
    </cacheField>
    <cacheField name="Quantidade" numFmtId="0">
      <sharedItems containsString="0" containsBlank="1" containsNumber="1" containsInteger="1" minValue="2" maxValue="2"/>
    </cacheField>
    <cacheField name="Valor Unitário" numFmtId="164">
      <sharedItems containsString="0" containsBlank="1" containsNumber="1" containsInteger="1" minValue="110" maxValue="110"/>
    </cacheField>
    <cacheField name="Valor Total" numFmtId="4">
      <sharedItems containsString="0" containsBlank="1" containsNumber="1" containsInteger="1" minValue="220" maxValue="220"/>
    </cacheField>
    <cacheField name="CPF/CNPJ" numFmtId="0">
      <sharedItems containsBlank="1"/>
    </cacheField>
    <cacheField name="Statu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stavo Santos" refreshedDate="45857.722381481479" createdVersion="8" refreshedVersion="8" minRefreshableVersion="3" recordCount="7" xr:uid="{8754AEE0-00C9-42B3-BECC-9A2EA03E4F40}">
  <cacheSource type="worksheet">
    <worksheetSource ref="U4:AB11" sheet="Dashboard Financeiro"/>
  </cacheSource>
  <cacheFields count="8">
    <cacheField name="Cliente" numFmtId="0">
      <sharedItems containsBlank="1" containsMixedTypes="1" containsNumber="1" containsInteger="1" minValue="0" maxValue="11" count="6">
        <s v="Gustavo Santos Teixeira"/>
        <m/>
        <n v="0" u="1"/>
        <n v="3" u="1"/>
        <n v="10" u="1"/>
        <n v="11" u="1"/>
      </sharedItems>
    </cacheField>
    <cacheField name="Produto ou Serviço" numFmtId="0">
      <sharedItems containsBlank="1"/>
    </cacheField>
    <cacheField name="Data" numFmtId="14">
      <sharedItems containsNonDate="0" containsDate="1" containsString="0" containsBlank="1" minDate="2003-10-17T00:00:00" maxDate="2003-10-18T00:00:00"/>
    </cacheField>
    <cacheField name="Quantidade" numFmtId="0">
      <sharedItems containsString="0" containsBlank="1" containsNumber="1" containsInteger="1" minValue="2" maxValue="2"/>
    </cacheField>
    <cacheField name="Valor Unitário" numFmtId="164">
      <sharedItems containsString="0" containsBlank="1" containsNumber="1" containsInteger="1" minValue="110" maxValue="110"/>
    </cacheField>
    <cacheField name="Valor Total" numFmtId="4">
      <sharedItems containsString="0" containsBlank="1" containsNumber="1" containsInteger="1" minValue="220" maxValue="220"/>
    </cacheField>
    <cacheField name="CPF/CNPJ" numFmtId="0">
      <sharedItems containsBlank="1"/>
    </cacheField>
    <cacheField name="Statu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stavo Santos" refreshedDate="45857.722382175925" createdVersion="8" refreshedVersion="8" minRefreshableVersion="3" recordCount="1" xr:uid="{1979AC0C-20A1-4AA9-A202-42B1FE0B2E51}">
  <cacheSource type="worksheet">
    <worksheetSource ref="AG4:AH5" sheet="Dashboard Financeiro"/>
  </cacheSource>
  <cacheFields count="2">
    <cacheField name="Devedores" numFmtId="0">
      <sharedItems containsSemiMixedTypes="0" containsString="0" containsNumber="1" containsInteger="1" minValue="220" maxValue="220"/>
    </cacheField>
    <cacheField name="Recebidos" numFmtId="0">
      <sharedItems containsSemiMixedTypes="0" containsString="0" containsNumber="1" containsInteger="1" minValue="210" maxValue="2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s v="Gustavo Santos Teixeira"/>
    <x v="0"/>
    <d v="2003-10-17T00:00:00"/>
    <n v="2"/>
    <n v="110"/>
    <n v="220"/>
    <s v="03116691150"/>
    <s v="Não Pago"/>
  </r>
  <r>
    <m/>
    <x v="1"/>
    <m/>
    <m/>
    <m/>
    <m/>
    <m/>
    <m/>
  </r>
  <r>
    <m/>
    <x v="1"/>
    <m/>
    <m/>
    <m/>
    <m/>
    <m/>
    <m/>
  </r>
  <r>
    <m/>
    <x v="1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Camisa Polo"/>
    <d v="2003-10-17T00:00:00"/>
    <n v="2"/>
    <n v="110"/>
    <n v="220"/>
    <s v="03116691150"/>
    <s v="Não Pago"/>
  </r>
  <r>
    <x v="1"/>
    <m/>
    <m/>
    <m/>
    <m/>
    <m/>
    <m/>
    <m/>
  </r>
  <r>
    <x v="1"/>
    <m/>
    <m/>
    <m/>
    <m/>
    <m/>
    <m/>
    <m/>
  </r>
  <r>
    <x v="1"/>
    <m/>
    <m/>
    <m/>
    <m/>
    <m/>
    <m/>
    <m/>
  </r>
  <r>
    <x v="1"/>
    <m/>
    <m/>
    <m/>
    <m/>
    <m/>
    <m/>
    <m/>
  </r>
  <r>
    <x v="1"/>
    <m/>
    <m/>
    <m/>
    <m/>
    <m/>
    <m/>
    <m/>
  </r>
  <r>
    <x v="1"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220"/>
    <n v="2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DF5F9F-F0F7-4370-9A70-F80DC7441EF8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M4:AN7" firstHeaderRow="1" firstDataRow="1" firstDataCol="1"/>
  <pivotFields count="8">
    <pivotField showAll="0"/>
    <pivotField axis="axisRow" showAll="0" sortType="descending">
      <items count="5">
        <item m="1" x="2"/>
        <item x="1"/>
        <item m="1"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</pivotFields>
  <rowFields count="1">
    <field x="1"/>
  </rowFields>
  <rowItems count="3">
    <i>
      <x v="3"/>
    </i>
    <i>
      <x v="1"/>
    </i>
    <i t="grand">
      <x/>
    </i>
  </rowItems>
  <colItems count="1">
    <i/>
  </colItems>
  <dataFields count="1">
    <dataField name="Soma de Quantidade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027344-05FE-4D2C-8F28-E123DA282543}" name="Tabela dinâmica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AJ4:AK5" firstHeaderRow="0" firstDataRow="1" firstDataCol="0"/>
  <pivotFields count="2">
    <pivotField dataField="1" showAll="0"/>
    <pivotField dataField="1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a de Devedores" fld="0" baseField="0" baseItem="0"/>
    <dataField name="Soma de Recebidos" fld="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E8F71F-087F-4C2F-9438-1488A48AC0E1}" name="Tabela dinâmica5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D4:AE7" firstHeaderRow="1" firstDataRow="1" firstDataCol="1"/>
  <pivotFields count="8">
    <pivotField axis="axisRow" showAll="0">
      <items count="7">
        <item m="1" x="3"/>
        <item m="1" x="4"/>
        <item m="1" x="5"/>
        <item x="1"/>
        <item m="1" x="2"/>
        <item x="0"/>
        <item t="default"/>
      </items>
    </pivotField>
    <pivotField showAll="0"/>
    <pivotField showAll="0"/>
    <pivotField showAll="0"/>
    <pivotField numFmtId="164" showAll="0"/>
    <pivotField dataField="1" numFmtId="4" showAll="0"/>
    <pivotField showAll="0"/>
    <pivotField showAll="0"/>
  </pivotFields>
  <rowFields count="1">
    <field x="0"/>
  </rowFields>
  <rowItems count="3">
    <i>
      <x v="3"/>
    </i>
    <i>
      <x v="5"/>
    </i>
    <i t="grand">
      <x/>
    </i>
  </rowItems>
  <colItems count="1">
    <i/>
  </colItems>
  <dataFields count="1">
    <dataField name="Soma de Valor Total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gustavosantosteixeira00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DB6D-8E97-4ECE-BD1A-25ECDDCF1F69}">
  <sheetPr codeName="Planilha1"/>
  <dimension ref="A1:S41"/>
  <sheetViews>
    <sheetView tabSelected="1" workbookViewId="0">
      <selection activeCell="F42" sqref="A42:XFD1048576"/>
    </sheetView>
  </sheetViews>
  <sheetFormatPr defaultColWidth="0" defaultRowHeight="15" zeroHeight="1" x14ac:dyDescent="0.25"/>
  <cols>
    <col min="1" max="19" width="9.140625" customWidth="1"/>
    <col min="20" max="16384" width="9.140625" hidden="1"/>
  </cols>
  <sheetData>
    <row r="1" spans="1:19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spans="1:19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9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9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9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9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9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9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9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9BD74-278D-48C5-B73C-1E76C89F0CEF}">
  <sheetPr codeName="Planilha2"/>
  <dimension ref="A1:H21"/>
  <sheetViews>
    <sheetView showGridLines="0" topLeftCell="B1" workbookViewId="0">
      <selection activeCell="D16" sqref="D16:G16"/>
    </sheetView>
  </sheetViews>
  <sheetFormatPr defaultColWidth="0" defaultRowHeight="15" zeroHeight="1" x14ac:dyDescent="0.25"/>
  <cols>
    <col min="1" max="1" width="0.7109375" hidden="1" customWidth="1"/>
    <col min="2" max="8" width="9" customWidth="1"/>
    <col min="9" max="16384" width="9" hidden="1"/>
  </cols>
  <sheetData>
    <row r="1" spans="1:8" x14ac:dyDescent="0.25">
      <c r="A1" s="3"/>
      <c r="B1" s="3"/>
      <c r="C1" s="3"/>
      <c r="D1" s="3"/>
      <c r="E1" s="3"/>
      <c r="F1" s="3"/>
      <c r="G1" s="3"/>
      <c r="H1" s="3"/>
    </row>
    <row r="2" spans="1:8" x14ac:dyDescent="0.25">
      <c r="A2" s="3"/>
      <c r="B2" s="3"/>
      <c r="C2" s="3"/>
      <c r="D2" s="3"/>
      <c r="E2" s="3"/>
      <c r="F2" s="3"/>
      <c r="G2" s="3"/>
      <c r="H2" s="3"/>
    </row>
    <row r="3" spans="1:8" x14ac:dyDescent="0.25">
      <c r="A3" s="3"/>
      <c r="B3" s="3"/>
      <c r="C3" s="3"/>
      <c r="D3" s="3"/>
      <c r="E3" s="3"/>
      <c r="F3" s="3"/>
      <c r="G3" s="3"/>
      <c r="H3" s="3"/>
    </row>
    <row r="4" spans="1:8" ht="6" customHeight="1" x14ac:dyDescent="0.25"/>
    <row r="5" spans="1:8" x14ac:dyDescent="0.25">
      <c r="B5" s="3"/>
      <c r="C5" s="3"/>
      <c r="D5" s="3"/>
      <c r="E5" s="3"/>
      <c r="F5" s="3"/>
      <c r="G5" s="3"/>
      <c r="H5" s="3"/>
    </row>
    <row r="6" spans="1:8" ht="21" x14ac:dyDescent="0.35">
      <c r="B6" s="4" t="s">
        <v>5</v>
      </c>
      <c r="C6" s="4"/>
      <c r="D6" s="2"/>
      <c r="E6" s="2"/>
      <c r="F6" s="2"/>
      <c r="G6" s="2"/>
      <c r="H6" s="2"/>
    </row>
    <row r="7" spans="1:8" x14ac:dyDescent="0.25">
      <c r="B7" s="2"/>
      <c r="C7" s="2"/>
      <c r="D7" s="2"/>
      <c r="E7" s="2"/>
      <c r="F7" s="2"/>
      <c r="G7" s="2"/>
      <c r="H7" s="2"/>
    </row>
    <row r="8" spans="1:8" x14ac:dyDescent="0.25">
      <c r="B8" s="2" t="s">
        <v>6</v>
      </c>
      <c r="C8" s="2"/>
      <c r="D8" s="41" t="s">
        <v>50</v>
      </c>
      <c r="E8" s="41"/>
      <c r="F8" s="41"/>
      <c r="G8" s="41"/>
      <c r="H8" s="2"/>
    </row>
    <row r="9" spans="1:8" x14ac:dyDescent="0.25">
      <c r="B9" s="2"/>
      <c r="C9" s="2"/>
      <c r="D9" s="23"/>
      <c r="E9" s="23"/>
      <c r="F9" s="23"/>
      <c r="G9" s="23"/>
      <c r="H9" s="2"/>
    </row>
    <row r="10" spans="1:8" x14ac:dyDescent="0.25">
      <c r="B10" s="2" t="s">
        <v>7</v>
      </c>
      <c r="C10" s="2"/>
      <c r="D10" s="41" t="s">
        <v>50</v>
      </c>
      <c r="E10" s="41"/>
      <c r="F10" s="41"/>
      <c r="G10" s="41"/>
      <c r="H10" s="2"/>
    </row>
    <row r="11" spans="1:8" x14ac:dyDescent="0.25">
      <c r="B11" s="2"/>
      <c r="C11" s="2"/>
      <c r="D11" s="23"/>
      <c r="E11" s="23"/>
      <c r="F11" s="23"/>
      <c r="G11" s="23"/>
      <c r="H11" s="2"/>
    </row>
    <row r="12" spans="1:8" x14ac:dyDescent="0.25">
      <c r="B12" s="2" t="s">
        <v>8</v>
      </c>
      <c r="C12" s="2"/>
      <c r="D12" s="41" t="s">
        <v>50</v>
      </c>
      <c r="E12" s="41"/>
      <c r="F12" s="41"/>
      <c r="G12" s="41"/>
      <c r="H12" s="2"/>
    </row>
    <row r="13" spans="1:8" x14ac:dyDescent="0.25">
      <c r="B13" s="2"/>
      <c r="C13" s="2"/>
      <c r="D13" s="23"/>
      <c r="E13" s="23"/>
      <c r="F13" s="23"/>
      <c r="G13" s="23"/>
      <c r="H13" s="2"/>
    </row>
    <row r="14" spans="1:8" x14ac:dyDescent="0.25">
      <c r="B14" s="2" t="s">
        <v>9</v>
      </c>
      <c r="C14" s="2"/>
      <c r="D14" s="40" t="s">
        <v>50</v>
      </c>
      <c r="E14" s="40"/>
      <c r="F14" s="40"/>
      <c r="G14" s="40"/>
      <c r="H14" s="2"/>
    </row>
    <row r="15" spans="1:8" x14ac:dyDescent="0.25">
      <c r="B15" s="2"/>
      <c r="C15" s="2"/>
      <c r="D15" s="23"/>
      <c r="E15" s="23"/>
      <c r="F15" s="23"/>
      <c r="G15" s="23"/>
      <c r="H15" s="2"/>
    </row>
    <row r="16" spans="1:8" x14ac:dyDescent="0.25">
      <c r="B16" s="2" t="s">
        <v>10</v>
      </c>
      <c r="C16" s="2"/>
      <c r="D16" s="41" t="s">
        <v>50</v>
      </c>
      <c r="E16" s="41"/>
      <c r="F16" s="41"/>
      <c r="G16" s="41"/>
      <c r="H16" s="2"/>
    </row>
    <row r="17" spans="2:8" x14ac:dyDescent="0.25">
      <c r="B17" s="2"/>
      <c r="C17" s="2"/>
      <c r="D17" s="2"/>
      <c r="E17" s="2"/>
      <c r="F17" s="2"/>
      <c r="G17" s="2"/>
      <c r="H17" s="2"/>
    </row>
    <row r="18" spans="2:8" x14ac:dyDescent="0.25">
      <c r="B18" s="2"/>
      <c r="C18" s="2"/>
      <c r="D18" s="2"/>
      <c r="E18" s="2"/>
      <c r="F18" s="2"/>
      <c r="G18" s="2"/>
      <c r="H18" s="2"/>
    </row>
    <row r="19" spans="2:8" x14ac:dyDescent="0.25">
      <c r="B19" s="2"/>
      <c r="C19" s="2"/>
      <c r="D19" s="2"/>
      <c r="E19" s="2"/>
      <c r="F19" s="2"/>
      <c r="G19" s="2"/>
      <c r="H19" s="2"/>
    </row>
    <row r="20" spans="2:8" x14ac:dyDescent="0.25">
      <c r="B20" s="2"/>
      <c r="C20" s="2"/>
      <c r="D20" s="2"/>
      <c r="E20" s="2"/>
      <c r="F20" s="2"/>
      <c r="G20" s="2"/>
      <c r="H20" s="2"/>
    </row>
    <row r="21" spans="2:8" x14ac:dyDescent="0.25"/>
  </sheetData>
  <mergeCells count="5">
    <mergeCell ref="D14:G14"/>
    <mergeCell ref="D16:G16"/>
    <mergeCell ref="D8:G8"/>
    <mergeCell ref="D10:G10"/>
    <mergeCell ref="D12:G12"/>
  </mergeCells>
  <hyperlinks>
    <hyperlink ref="D14" r:id="rId1" display="gustavosantosteixeira00@gmail.com" xr:uid="{9287EDEE-DA53-4D2A-AE41-8FBABFBF8C90}"/>
  </hyperlinks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B23ED-6E6E-4F04-AC4F-8008EFF83B17}">
  <sheetPr codeName="Planilha4"/>
  <dimension ref="A1:Q1048576"/>
  <sheetViews>
    <sheetView showGridLines="0" zoomScale="92" workbookViewId="0">
      <selection activeCell="L10" sqref="L10:O10"/>
    </sheetView>
  </sheetViews>
  <sheetFormatPr defaultColWidth="0" defaultRowHeight="15" zeroHeight="1" x14ac:dyDescent="0.25"/>
  <cols>
    <col min="1" max="1" width="1.42578125" customWidth="1"/>
    <col min="2" max="2" width="9" customWidth="1"/>
    <col min="3" max="3" width="19.5703125" customWidth="1"/>
    <col min="4" max="8" width="9" customWidth="1"/>
    <col min="9" max="9" width="2.140625" customWidth="1"/>
    <col min="10" max="10" width="9" customWidth="1"/>
    <col min="11" max="11" width="21.140625" customWidth="1"/>
    <col min="12" max="16" width="9" customWidth="1"/>
    <col min="17" max="17" width="2.5703125" customWidth="1"/>
    <col min="18" max="16384" width="9" hidden="1"/>
  </cols>
  <sheetData>
    <row r="1" spans="1:17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17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17" ht="7.5" customHeight="1" x14ac:dyDescent="0.25"/>
    <row r="5" spans="1:17" x14ac:dyDescent="0.25">
      <c r="B5" s="3"/>
      <c r="C5" s="3"/>
      <c r="D5" s="3"/>
      <c r="E5" s="3"/>
      <c r="F5" s="3"/>
      <c r="G5" s="3"/>
      <c r="H5" s="3"/>
      <c r="J5" s="3"/>
      <c r="K5" s="3"/>
      <c r="L5" s="3"/>
      <c r="M5" s="3"/>
      <c r="N5" s="3"/>
      <c r="O5" s="3"/>
      <c r="P5" s="3"/>
    </row>
    <row r="6" spans="1:17" ht="21" x14ac:dyDescent="0.35">
      <c r="B6" s="4" t="s">
        <v>21</v>
      </c>
      <c r="C6" s="4"/>
      <c r="D6" s="2"/>
      <c r="E6" s="2"/>
      <c r="F6" s="2"/>
      <c r="G6" s="2"/>
      <c r="H6" s="2"/>
      <c r="J6" s="4" t="s">
        <v>27</v>
      </c>
      <c r="K6" s="4"/>
      <c r="L6" s="2"/>
      <c r="M6" s="2"/>
      <c r="N6" s="2"/>
      <c r="O6" s="2"/>
      <c r="P6" s="2"/>
    </row>
    <row r="7" spans="1:17" x14ac:dyDescent="0.25">
      <c r="B7" s="2"/>
      <c r="C7" s="2"/>
      <c r="D7" s="2"/>
      <c r="E7" s="2"/>
      <c r="F7" s="2"/>
      <c r="G7" s="2"/>
      <c r="H7" s="2"/>
      <c r="J7" s="2"/>
      <c r="K7" s="2"/>
      <c r="L7" s="2"/>
      <c r="M7" s="2"/>
      <c r="N7" s="2"/>
      <c r="O7" s="2"/>
      <c r="P7" s="2"/>
    </row>
    <row r="8" spans="1:17" x14ac:dyDescent="0.25">
      <c r="B8" s="2" t="s">
        <v>38</v>
      </c>
      <c r="C8" s="2"/>
      <c r="D8" s="47" t="s">
        <v>50</v>
      </c>
      <c r="E8" s="47"/>
      <c r="F8" s="47"/>
      <c r="G8" s="47"/>
      <c r="H8" s="2"/>
      <c r="J8" s="2" t="s">
        <v>28</v>
      </c>
      <c r="K8" s="2"/>
      <c r="L8" s="44"/>
      <c r="M8" s="44"/>
      <c r="N8" s="44"/>
      <c r="O8" s="44"/>
      <c r="P8" s="2"/>
    </row>
    <row r="9" spans="1:17" x14ac:dyDescent="0.25">
      <c r="B9" s="3"/>
      <c r="C9" s="3"/>
      <c r="D9" s="25"/>
      <c r="E9" s="25"/>
      <c r="F9" s="25"/>
      <c r="G9" s="25"/>
      <c r="H9" s="2"/>
      <c r="J9" s="2"/>
      <c r="K9" s="2"/>
      <c r="L9" s="8"/>
      <c r="M9" s="8"/>
      <c r="N9" s="8"/>
      <c r="O9" s="8"/>
      <c r="P9" s="2"/>
    </row>
    <row r="10" spans="1:17" x14ac:dyDescent="0.25">
      <c r="B10" s="2" t="s">
        <v>36</v>
      </c>
      <c r="C10" s="2"/>
      <c r="D10" s="47" t="s">
        <v>50</v>
      </c>
      <c r="E10" s="47"/>
      <c r="F10" s="47"/>
      <c r="G10" s="47"/>
      <c r="H10" s="2"/>
      <c r="J10" s="2" t="s">
        <v>49</v>
      </c>
      <c r="K10" s="2"/>
      <c r="L10" s="45"/>
      <c r="M10" s="45"/>
      <c r="N10" s="45"/>
      <c r="O10" s="45"/>
      <c r="P10" s="2"/>
    </row>
    <row r="11" spans="1:17" x14ac:dyDescent="0.25">
      <c r="B11" s="2"/>
      <c r="C11" s="2"/>
      <c r="D11" s="26"/>
      <c r="E11" s="26"/>
      <c r="F11" s="26"/>
      <c r="G11" s="26"/>
      <c r="H11" s="2"/>
      <c r="J11" s="2"/>
      <c r="K11" s="2"/>
      <c r="L11" s="8"/>
      <c r="M11" s="8"/>
      <c r="N11" s="8"/>
      <c r="O11" s="8"/>
      <c r="P11" s="2"/>
    </row>
    <row r="12" spans="1:17" x14ac:dyDescent="0.25">
      <c r="B12" s="2" t="s">
        <v>66</v>
      </c>
      <c r="C12" s="2"/>
      <c r="D12" s="47" t="s">
        <v>50</v>
      </c>
      <c r="E12" s="47"/>
      <c r="F12" s="47"/>
      <c r="G12" s="47"/>
      <c r="H12" s="2"/>
      <c r="J12" s="2" t="s">
        <v>39</v>
      </c>
      <c r="K12" s="2"/>
      <c r="L12" s="46"/>
      <c r="M12" s="46"/>
      <c r="N12" s="46"/>
      <c r="O12" s="46"/>
      <c r="P12" s="2"/>
    </row>
    <row r="13" spans="1:17" x14ac:dyDescent="0.25">
      <c r="B13" s="2"/>
      <c r="C13" s="37" t="str">
        <f>D12</f>
        <v/>
      </c>
      <c r="D13" s="11"/>
      <c r="E13" s="11"/>
      <c r="F13" s="11"/>
      <c r="G13" s="11"/>
      <c r="H13" s="2"/>
      <c r="J13" s="2"/>
      <c r="K13" s="2"/>
      <c r="L13" s="8"/>
      <c r="M13" s="8"/>
      <c r="N13" s="8"/>
      <c r="O13" s="8"/>
      <c r="P13" s="2"/>
    </row>
    <row r="14" spans="1:17" x14ac:dyDescent="0.25">
      <c r="B14" s="2" t="s">
        <v>22</v>
      </c>
      <c r="C14" s="2"/>
      <c r="D14" s="48"/>
      <c r="E14" s="48"/>
      <c r="F14" s="48"/>
      <c r="G14" s="48"/>
      <c r="H14" s="2"/>
      <c r="J14" s="2" t="s">
        <v>66</v>
      </c>
      <c r="K14" s="2"/>
      <c r="L14" s="41" t="s">
        <v>50</v>
      </c>
      <c r="M14" s="41"/>
      <c r="N14" s="41"/>
      <c r="O14" s="41"/>
      <c r="P14" s="2"/>
    </row>
    <row r="15" spans="1:17" x14ac:dyDescent="0.25">
      <c r="B15" s="2"/>
      <c r="C15" s="2"/>
      <c r="D15" s="11"/>
      <c r="E15" s="11"/>
      <c r="F15" s="11"/>
      <c r="G15" s="11"/>
      <c r="H15" s="2"/>
      <c r="J15" s="2"/>
      <c r="K15" s="2"/>
      <c r="L15" s="23"/>
      <c r="M15" s="23"/>
      <c r="N15" s="23"/>
      <c r="O15" s="23"/>
      <c r="P15" s="2"/>
    </row>
    <row r="16" spans="1:17" x14ac:dyDescent="0.25">
      <c r="B16" s="2" t="s">
        <v>23</v>
      </c>
      <c r="C16" s="2"/>
      <c r="D16" s="43"/>
      <c r="E16" s="43"/>
      <c r="F16" s="43"/>
      <c r="G16" s="43"/>
      <c r="H16" s="2"/>
      <c r="J16" s="2" t="s">
        <v>7</v>
      </c>
      <c r="K16" s="3"/>
      <c r="L16" s="41" t="s">
        <v>50</v>
      </c>
      <c r="M16" s="41"/>
      <c r="N16" s="41"/>
      <c r="O16" s="41"/>
      <c r="P16" s="2"/>
    </row>
    <row r="17" spans="2:16" x14ac:dyDescent="0.25">
      <c r="B17" s="2"/>
      <c r="C17" s="2"/>
      <c r="D17" s="10"/>
      <c r="E17" s="10"/>
      <c r="F17" s="10"/>
      <c r="G17" s="10"/>
      <c r="H17" s="2"/>
      <c r="J17" s="2"/>
      <c r="K17" s="2"/>
      <c r="L17" s="2"/>
      <c r="M17" s="2"/>
      <c r="N17" s="2"/>
      <c r="O17" s="2"/>
      <c r="P17" s="2"/>
    </row>
    <row r="18" spans="2:16" hidden="1" x14ac:dyDescent="0.25">
      <c r="B18" s="2" t="s">
        <v>25</v>
      </c>
      <c r="C18" s="3"/>
      <c r="D18" s="42"/>
      <c r="E18" s="42"/>
      <c r="F18" s="42"/>
      <c r="G18" s="42"/>
      <c r="H18" s="2"/>
      <c r="J18" s="2"/>
      <c r="K18" s="2"/>
      <c r="L18" s="7"/>
      <c r="M18" s="7"/>
      <c r="N18" s="7"/>
      <c r="O18" s="7"/>
      <c r="P18" s="2"/>
    </row>
    <row r="19" spans="2:16" hidden="1" x14ac:dyDescent="0.25">
      <c r="B19" s="2" t="s">
        <v>24</v>
      </c>
      <c r="C19" s="2"/>
      <c r="D19" s="10"/>
      <c r="E19" s="10"/>
      <c r="F19" s="10"/>
      <c r="G19" s="10"/>
      <c r="H19" s="2"/>
      <c r="J19" s="2"/>
      <c r="K19" s="2"/>
      <c r="L19" s="2"/>
      <c r="M19" s="2"/>
      <c r="N19" s="2"/>
      <c r="O19" s="2"/>
      <c r="P19" s="2"/>
    </row>
    <row r="20" spans="2:16" hidden="1" x14ac:dyDescent="0.25">
      <c r="B20" s="2" t="s">
        <v>26</v>
      </c>
      <c r="C20" s="2"/>
      <c r="D20" s="42">
        <f>D16*D18</f>
        <v>0</v>
      </c>
      <c r="E20" s="42"/>
      <c r="F20" s="42"/>
      <c r="G20" s="42"/>
      <c r="H20" s="3"/>
      <c r="J20" s="3"/>
      <c r="K20" s="3"/>
      <c r="L20" s="3"/>
      <c r="M20" s="3"/>
      <c r="N20" s="3"/>
      <c r="O20" s="3"/>
      <c r="P20" s="3"/>
    </row>
    <row r="21" spans="2:16" x14ac:dyDescent="0.25">
      <c r="B21" s="3"/>
      <c r="C21" s="3"/>
      <c r="D21" s="3"/>
      <c r="E21" s="3"/>
      <c r="F21" s="3"/>
      <c r="G21" s="3"/>
      <c r="H21" s="3"/>
      <c r="J21" s="3"/>
      <c r="K21" s="3"/>
      <c r="L21" s="3"/>
      <c r="M21" s="3"/>
      <c r="N21" s="3"/>
      <c r="O21" s="3"/>
      <c r="P21" s="3"/>
    </row>
    <row r="22" spans="2:16" x14ac:dyDescent="0.25">
      <c r="B22" s="12">
        <f>D16*C23</f>
        <v>0</v>
      </c>
      <c r="C22" s="3"/>
      <c r="D22" s="3"/>
      <c r="E22" s="3"/>
      <c r="F22" s="3"/>
      <c r="G22" s="3"/>
      <c r="H22" s="3"/>
      <c r="J22" s="3"/>
      <c r="K22" s="3"/>
      <c r="L22" s="3"/>
      <c r="M22" s="3"/>
      <c r="N22" s="3"/>
      <c r="O22" s="3"/>
      <c r="P22" s="3"/>
    </row>
    <row r="23" spans="2:16" x14ac:dyDescent="0.25">
      <c r="B23" s="3"/>
      <c r="C23" s="3"/>
      <c r="D23" s="3"/>
      <c r="E23" s="3"/>
      <c r="F23" s="3"/>
      <c r="G23" s="3"/>
      <c r="H23" s="3"/>
      <c r="J23" s="3"/>
      <c r="K23" s="3"/>
      <c r="L23" s="3"/>
      <c r="M23" s="3"/>
      <c r="N23" s="3"/>
      <c r="O23" s="3"/>
      <c r="P23" s="3"/>
    </row>
    <row r="24" spans="2:16" x14ac:dyDescent="0.25">
      <c r="B24" s="12" t="s">
        <v>48</v>
      </c>
      <c r="C24" s="3"/>
      <c r="D24" s="3"/>
      <c r="E24" s="3"/>
      <c r="F24" s="3"/>
      <c r="G24" s="3"/>
      <c r="H24" s="3"/>
      <c r="J24" s="3"/>
      <c r="K24" s="12" t="s">
        <v>41</v>
      </c>
      <c r="L24" s="3"/>
      <c r="M24" s="3"/>
      <c r="N24" s="3"/>
      <c r="O24" s="3"/>
      <c r="P24" s="3"/>
    </row>
    <row r="25" spans="2:16" x14ac:dyDescent="0.25">
      <c r="K25" s="1" t="s">
        <v>42</v>
      </c>
    </row>
    <row r="26" spans="2:16" hidden="1" x14ac:dyDescent="0.25">
      <c r="K26" s="1" t="s">
        <v>43</v>
      </c>
    </row>
    <row r="27" spans="2:16" hidden="1" x14ac:dyDescent="0.25">
      <c r="K27" s="1" t="s">
        <v>44</v>
      </c>
    </row>
    <row r="33" customFormat="1" hidden="1" x14ac:dyDescent="0.25"/>
    <row r="34" customFormat="1" hidden="1" x14ac:dyDescent="0.25"/>
    <row r="35" customFormat="1" hidden="1" x14ac:dyDescent="0.25"/>
    <row r="36" customFormat="1" hidden="1" x14ac:dyDescent="0.25"/>
    <row r="37" customFormat="1" hidden="1" x14ac:dyDescent="0.25"/>
    <row r="38" customFormat="1" hidden="1" x14ac:dyDescent="0.25"/>
    <row r="39" customFormat="1" hidden="1" x14ac:dyDescent="0.25"/>
    <row r="40" customFormat="1" hidden="1" x14ac:dyDescent="0.25"/>
    <row r="41" customFormat="1" hidden="1" x14ac:dyDescent="0.25"/>
    <row r="42" customFormat="1" hidden="1" x14ac:dyDescent="0.25"/>
    <row r="43" customFormat="1" hidden="1" x14ac:dyDescent="0.25"/>
    <row r="44" customFormat="1" hidden="1" x14ac:dyDescent="0.25"/>
    <row r="1048576" x14ac:dyDescent="0.25"/>
  </sheetData>
  <mergeCells count="12">
    <mergeCell ref="D20:G20"/>
    <mergeCell ref="L16:O16"/>
    <mergeCell ref="D16:G16"/>
    <mergeCell ref="D18:G18"/>
    <mergeCell ref="L8:O8"/>
    <mergeCell ref="L10:O10"/>
    <mergeCell ref="L12:O12"/>
    <mergeCell ref="D10:G10"/>
    <mergeCell ref="D12:G12"/>
    <mergeCell ref="D14:G14"/>
    <mergeCell ref="L14:O14"/>
    <mergeCell ref="D8:G8"/>
  </mergeCells>
  <dataValidations count="1">
    <dataValidation type="list" allowBlank="1" showInputMessage="1" showErrorMessage="1" sqref="L12:O12" xr:uid="{295161CC-C2CB-482B-A7A1-2C13E57204C0}">
      <formula1>$K$24:$K$28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113764F-2408-4556-964E-3A61BBAF8956}">
          <x14:formula1>
            <xm:f>'Base de Produtos e Serviços'!$B$6:$B$1048576</xm:f>
          </x14:formula1>
          <xm:sqref>D12:G12 L14:O14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9758A-CB3B-4D46-94AE-745F20955953}">
  <sheetPr codeName="Planilha3"/>
  <dimension ref="A1:I23"/>
  <sheetViews>
    <sheetView showGridLines="0" workbookViewId="0">
      <selection activeCell="D14" sqref="D14:G14"/>
    </sheetView>
  </sheetViews>
  <sheetFormatPr defaultColWidth="0" defaultRowHeight="15" zeroHeight="1" x14ac:dyDescent="0.25"/>
  <cols>
    <col min="1" max="1" width="1.42578125" customWidth="1"/>
    <col min="2" max="8" width="9" customWidth="1"/>
    <col min="9" max="9" width="1.85546875" customWidth="1"/>
    <col min="10" max="10" width="0" hidden="1" customWidth="1"/>
  </cols>
  <sheetData>
    <row r="1" spans="1:9" x14ac:dyDescent="0.25">
      <c r="A1" s="3"/>
      <c r="B1" s="3"/>
      <c r="C1" s="3"/>
      <c r="D1" s="3"/>
      <c r="E1" s="3"/>
      <c r="F1" s="3"/>
      <c r="G1" s="3"/>
      <c r="H1" s="3"/>
      <c r="I1" s="3"/>
    </row>
    <row r="2" spans="1:9" x14ac:dyDescent="0.25">
      <c r="A2" s="3"/>
      <c r="B2" s="3"/>
      <c r="C2" s="3"/>
      <c r="D2" s="3"/>
      <c r="E2" s="3"/>
      <c r="F2" s="3"/>
      <c r="G2" s="3"/>
      <c r="H2" s="3"/>
      <c r="I2" s="3"/>
    </row>
    <row r="3" spans="1:9" x14ac:dyDescent="0.25">
      <c r="A3" s="3"/>
      <c r="B3" s="3"/>
      <c r="C3" s="3"/>
      <c r="D3" s="3"/>
      <c r="E3" s="3"/>
      <c r="F3" s="3"/>
      <c r="G3" s="3"/>
      <c r="H3" s="3"/>
      <c r="I3" s="3"/>
    </row>
    <row r="4" spans="1:9" ht="6.75" customHeight="1" x14ac:dyDescent="0.25"/>
    <row r="5" spans="1:9" x14ac:dyDescent="0.25">
      <c r="B5" s="3"/>
      <c r="C5" s="3"/>
      <c r="D5" s="3"/>
      <c r="E5" s="3"/>
      <c r="F5" s="3"/>
      <c r="G5" s="3"/>
      <c r="H5" s="3"/>
    </row>
    <row r="6" spans="1:9" ht="21" x14ac:dyDescent="0.35">
      <c r="B6" s="4" t="s">
        <v>14</v>
      </c>
      <c r="C6" s="4"/>
      <c r="D6" s="2"/>
      <c r="E6" s="2"/>
      <c r="F6" s="2"/>
      <c r="G6" s="2"/>
      <c r="H6" s="2"/>
    </row>
    <row r="7" spans="1:9" x14ac:dyDescent="0.25">
      <c r="B7" s="2"/>
      <c r="C7" s="2"/>
      <c r="D7" s="2"/>
      <c r="E7" s="2"/>
      <c r="F7" s="2"/>
      <c r="G7" s="2"/>
      <c r="H7" s="2"/>
    </row>
    <row r="8" spans="1:9" x14ac:dyDescent="0.25">
      <c r="B8" s="2" t="s">
        <v>15</v>
      </c>
      <c r="C8" s="2"/>
      <c r="D8" s="41" t="s">
        <v>50</v>
      </c>
      <c r="E8" s="41"/>
      <c r="F8" s="41"/>
      <c r="G8" s="41"/>
      <c r="H8" s="2"/>
    </row>
    <row r="9" spans="1:9" x14ac:dyDescent="0.25">
      <c r="B9" s="2"/>
      <c r="C9" s="2"/>
      <c r="D9" s="24"/>
      <c r="E9" s="24"/>
      <c r="F9" s="24"/>
      <c r="G9" s="24"/>
      <c r="H9" s="2"/>
    </row>
    <row r="10" spans="1:9" x14ac:dyDescent="0.25">
      <c r="B10" s="2" t="s">
        <v>16</v>
      </c>
      <c r="C10" s="2"/>
      <c r="D10" s="41" t="s">
        <v>50</v>
      </c>
      <c r="E10" s="41"/>
      <c r="F10" s="41"/>
      <c r="G10" s="41"/>
      <c r="H10" s="2"/>
    </row>
    <row r="11" spans="1:9" x14ac:dyDescent="0.25">
      <c r="B11" s="2"/>
      <c r="C11" s="2"/>
      <c r="D11" s="24"/>
      <c r="E11" s="24"/>
      <c r="F11" s="24"/>
      <c r="G11" s="24"/>
      <c r="H11" s="2"/>
    </row>
    <row r="12" spans="1:9" x14ac:dyDescent="0.25">
      <c r="B12" s="2" t="s">
        <v>17</v>
      </c>
      <c r="C12" s="2"/>
      <c r="D12" s="41" t="s">
        <v>50</v>
      </c>
      <c r="E12" s="41"/>
      <c r="F12" s="41"/>
      <c r="G12" s="41"/>
      <c r="H12" s="2"/>
    </row>
    <row r="13" spans="1:9" x14ac:dyDescent="0.25">
      <c r="B13" s="2"/>
      <c r="C13" s="2"/>
      <c r="D13" s="24"/>
      <c r="E13" s="24"/>
      <c r="F13" s="24"/>
      <c r="G13" s="24"/>
      <c r="H13" s="2"/>
    </row>
    <row r="14" spans="1:9" x14ac:dyDescent="0.25">
      <c r="B14" s="2" t="s">
        <v>18</v>
      </c>
      <c r="C14" s="2"/>
      <c r="D14" s="45"/>
      <c r="E14" s="45"/>
      <c r="F14" s="45"/>
      <c r="G14" s="45"/>
      <c r="H14" s="2"/>
    </row>
    <row r="15" spans="1:9" x14ac:dyDescent="0.25">
      <c r="B15" s="2"/>
      <c r="C15" s="2"/>
      <c r="D15" s="6"/>
      <c r="E15" s="6"/>
      <c r="F15" s="6"/>
      <c r="G15" s="6"/>
      <c r="H15" s="2"/>
    </row>
    <row r="16" spans="1:9" x14ac:dyDescent="0.25">
      <c r="B16" s="2"/>
      <c r="C16" s="3"/>
      <c r="D16" s="7"/>
      <c r="E16" s="7"/>
      <c r="F16" s="7"/>
      <c r="G16" s="2"/>
      <c r="H16" s="2"/>
    </row>
    <row r="17" spans="2:8" x14ac:dyDescent="0.25">
      <c r="B17" s="2"/>
      <c r="C17" s="2"/>
      <c r="D17" s="2"/>
      <c r="E17" s="2"/>
      <c r="F17" s="2"/>
      <c r="G17" s="2"/>
      <c r="H17" s="2"/>
    </row>
    <row r="18" spans="2:8" x14ac:dyDescent="0.25">
      <c r="B18" s="2"/>
      <c r="C18" s="2"/>
      <c r="D18" s="2"/>
      <c r="E18" s="2"/>
      <c r="F18" s="2"/>
      <c r="G18" s="2"/>
      <c r="H18" s="2"/>
    </row>
    <row r="19" spans="2:8" x14ac:dyDescent="0.25">
      <c r="B19" s="2"/>
      <c r="C19" s="2"/>
      <c r="D19" s="2"/>
      <c r="E19" s="2"/>
      <c r="F19" s="2"/>
      <c r="G19" s="2"/>
      <c r="H19" s="2"/>
    </row>
    <row r="20" spans="2:8" x14ac:dyDescent="0.25">
      <c r="E20" s="5" t="s">
        <v>20</v>
      </c>
    </row>
    <row r="21" spans="2:8" hidden="1" x14ac:dyDescent="0.25">
      <c r="B21" s="1" t="s">
        <v>19</v>
      </c>
    </row>
    <row r="22" spans="2:8" hidden="1" x14ac:dyDescent="0.25">
      <c r="B22" s="1" t="s">
        <v>20</v>
      </c>
    </row>
    <row r="23" spans="2:8" hidden="1" x14ac:dyDescent="0.25">
      <c r="B23" s="1"/>
    </row>
  </sheetData>
  <mergeCells count="4">
    <mergeCell ref="D12:G12"/>
    <mergeCell ref="D14:G14"/>
    <mergeCell ref="D8:G8"/>
    <mergeCell ref="D10:G10"/>
  </mergeCells>
  <dataValidations count="1">
    <dataValidation type="list" allowBlank="1" showInputMessage="1" showErrorMessage="1" sqref="D12:G12" xr:uid="{2D69B16B-14E6-4A09-A432-F2A6F5980AA8}">
      <formula1>$B$21:$B$23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C8E4A-F940-4617-BA7F-CCFDAD44F66C}">
  <sheetPr codeName="Planilha6"/>
  <dimension ref="A1:AN100"/>
  <sheetViews>
    <sheetView showGridLines="0" workbookViewId="0">
      <selection activeCell="K27" sqref="K27"/>
    </sheetView>
  </sheetViews>
  <sheetFormatPr defaultColWidth="0" defaultRowHeight="15" x14ac:dyDescent="0.25"/>
  <cols>
    <col min="1" max="15" width="9" customWidth="1"/>
    <col min="16" max="19" width="9" hidden="1" customWidth="1"/>
    <col min="20" max="20" width="18.5703125" hidden="1" customWidth="1"/>
    <col min="21" max="21" width="18" hidden="1" customWidth="1"/>
    <col min="22" max="22" width="25.7109375" hidden="1" customWidth="1"/>
    <col min="23" max="23" width="12.42578125" hidden="1" customWidth="1"/>
    <col min="24" max="24" width="15" hidden="1" customWidth="1"/>
    <col min="25" max="25" width="14.85546875" hidden="1" customWidth="1"/>
    <col min="26" max="26" width="21.140625" style="36" hidden="1" customWidth="1"/>
    <col min="27" max="27" width="16.7109375" hidden="1" customWidth="1"/>
    <col min="28" max="28" width="23.42578125" hidden="1" customWidth="1"/>
    <col min="29" max="29" width="9" hidden="1" customWidth="1"/>
    <col min="30" max="30" width="18" hidden="1" customWidth="1"/>
    <col min="31" max="31" width="18.7109375" hidden="1" customWidth="1"/>
    <col min="32" max="32" width="9" hidden="1" customWidth="1"/>
    <col min="33" max="33" width="11.140625" hidden="1" customWidth="1"/>
    <col min="34" max="35" width="9" hidden="1" customWidth="1"/>
    <col min="36" max="36" width="19.140625" hidden="1" customWidth="1"/>
    <col min="37" max="37" width="18.7109375" hidden="1" customWidth="1"/>
    <col min="38" max="38" width="9" hidden="1" customWidth="1"/>
    <col min="39" max="39" width="18" hidden="1" customWidth="1"/>
    <col min="40" max="40" width="19.42578125" hidden="1" customWidth="1"/>
    <col min="41" max="16384" width="9" hidden="1"/>
  </cols>
  <sheetData>
    <row r="1" spans="1:4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Z1"/>
    </row>
    <row r="2" spans="1:40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Z2"/>
    </row>
    <row r="3" spans="1:40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V3" s="1" t="s">
        <v>48</v>
      </c>
      <c r="W3" t="s">
        <v>61</v>
      </c>
      <c r="Z3"/>
      <c r="AJ3" t="s">
        <v>62</v>
      </c>
      <c r="AM3" t="s">
        <v>64</v>
      </c>
    </row>
    <row r="4" spans="1:40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T4" s="5"/>
      <c r="U4" s="18" t="s">
        <v>29</v>
      </c>
      <c r="V4" s="18" t="s">
        <v>65</v>
      </c>
      <c r="W4" s="18" t="s">
        <v>30</v>
      </c>
      <c r="X4" s="18" t="s">
        <v>31</v>
      </c>
      <c r="Y4" s="18" t="s">
        <v>32</v>
      </c>
      <c r="Z4" s="18" t="s">
        <v>33</v>
      </c>
      <c r="AA4" s="18" t="s">
        <v>0</v>
      </c>
      <c r="AB4" s="18" t="s">
        <v>47</v>
      </c>
      <c r="AD4" s="30" t="s">
        <v>53</v>
      </c>
      <c r="AE4" t="s">
        <v>55</v>
      </c>
      <c r="AG4" t="s">
        <v>57</v>
      </c>
      <c r="AH4" t="s">
        <v>58</v>
      </c>
      <c r="AJ4" t="s">
        <v>59</v>
      </c>
      <c r="AK4" t="s">
        <v>60</v>
      </c>
      <c r="AM4" s="30" t="s">
        <v>53</v>
      </c>
      <c r="AN4" t="s">
        <v>63</v>
      </c>
    </row>
    <row r="5" spans="1:40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U5" s="13" t="str" cm="1">
        <f t="array" ref="U5">_xlfn._xlws.FILTER('Base de Vendas'!A6:H100, 'Base de Vendas'!A6:A100&lt;&gt;"", "")</f>
        <v/>
      </c>
      <c r="V5" s="19"/>
      <c r="W5" s="14"/>
      <c r="X5" s="13"/>
      <c r="Y5" s="15"/>
      <c r="Z5" s="20"/>
      <c r="AA5" s="17"/>
      <c r="AB5" s="13"/>
      <c r="AD5" s="13" t="s">
        <v>56</v>
      </c>
      <c r="AE5" s="31"/>
      <c r="AG5">
        <f>SUM('Base de Vendas'!F6:F105)</f>
        <v>0</v>
      </c>
      <c r="AH5">
        <f>SUM('Base de Recebimentos'!B6:B105)</f>
        <v>220</v>
      </c>
      <c r="AJ5" s="31">
        <v>220</v>
      </c>
      <c r="AK5" s="31">
        <v>210</v>
      </c>
      <c r="AM5" s="13" t="s">
        <v>71</v>
      </c>
      <c r="AN5" s="31">
        <v>2</v>
      </c>
    </row>
    <row r="6" spans="1:40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U6" s="19"/>
      <c r="W6" s="34"/>
      <c r="X6" s="19"/>
      <c r="Y6" s="22"/>
      <c r="Z6" s="21"/>
      <c r="AA6" s="19"/>
      <c r="AB6" s="19"/>
      <c r="AD6" s="13" t="s">
        <v>51</v>
      </c>
      <c r="AE6" s="31">
        <v>220</v>
      </c>
      <c r="AM6" s="13" t="s">
        <v>56</v>
      </c>
      <c r="AN6" s="31"/>
    </row>
    <row r="7" spans="1:40" ht="15.75" x14ac:dyDescent="0.25">
      <c r="A7" s="33"/>
      <c r="B7" s="33"/>
      <c r="C7" s="38" t="s">
        <v>68</v>
      </c>
      <c r="D7" s="33"/>
      <c r="E7" s="33"/>
      <c r="F7" s="33"/>
      <c r="G7" s="33"/>
      <c r="H7" s="33"/>
      <c r="I7" s="38" t="s">
        <v>69</v>
      </c>
      <c r="J7" s="39"/>
      <c r="K7" s="39"/>
      <c r="L7" s="39"/>
      <c r="M7" s="39"/>
      <c r="N7" s="33"/>
      <c r="O7" s="33"/>
      <c r="U7" s="19"/>
      <c r="V7" s="19"/>
      <c r="W7" s="34"/>
      <c r="X7" s="19"/>
      <c r="Y7" s="22"/>
      <c r="Z7" s="21"/>
      <c r="AA7" s="19"/>
      <c r="AB7" s="19"/>
      <c r="AD7" s="13" t="s">
        <v>54</v>
      </c>
      <c r="AE7" s="31">
        <v>220</v>
      </c>
      <c r="AM7" s="13" t="s">
        <v>54</v>
      </c>
      <c r="AN7" s="31">
        <v>2</v>
      </c>
    </row>
    <row r="8" spans="1:40" x14ac:dyDescent="0.25">
      <c r="A8" s="33"/>
      <c r="B8" s="33"/>
      <c r="C8" s="33"/>
      <c r="D8" s="33"/>
      <c r="E8" s="33"/>
      <c r="F8" s="33"/>
      <c r="G8" s="33"/>
      <c r="H8" s="33"/>
      <c r="I8" s="39"/>
      <c r="J8" s="39"/>
      <c r="K8" s="39"/>
      <c r="L8" s="39"/>
      <c r="M8" s="39"/>
      <c r="N8" s="33"/>
      <c r="O8" s="33"/>
      <c r="U8" s="19"/>
      <c r="V8" s="19"/>
      <c r="W8" s="34"/>
      <c r="X8" s="19"/>
      <c r="Y8" s="22"/>
      <c r="Z8" s="21"/>
      <c r="AA8" s="19"/>
      <c r="AB8" s="19"/>
    </row>
    <row r="9" spans="1:40" x14ac:dyDescent="0.25">
      <c r="A9" s="33"/>
      <c r="B9" s="33"/>
      <c r="C9" s="33"/>
      <c r="D9" s="33"/>
      <c r="E9" s="33"/>
      <c r="F9" s="33"/>
      <c r="G9" s="33"/>
      <c r="H9" s="33"/>
      <c r="I9" s="39"/>
      <c r="J9" s="39"/>
      <c r="K9" s="39"/>
      <c r="L9" s="39"/>
      <c r="M9" s="39"/>
      <c r="N9" s="33"/>
      <c r="O9" s="33"/>
      <c r="U9" s="19"/>
      <c r="V9" s="19"/>
      <c r="W9" s="34"/>
      <c r="X9" s="19"/>
      <c r="Y9" s="22"/>
      <c r="Z9" s="21"/>
      <c r="AA9" s="19"/>
      <c r="AB9" s="19"/>
    </row>
    <row r="10" spans="1:40" x14ac:dyDescent="0.25">
      <c r="A10" s="33"/>
      <c r="B10" s="33"/>
      <c r="C10" s="33"/>
      <c r="D10" s="33"/>
      <c r="E10" s="33"/>
      <c r="F10" s="33"/>
      <c r="G10" s="33"/>
      <c r="H10" s="33"/>
      <c r="I10" s="39"/>
      <c r="J10" s="39"/>
      <c r="K10" s="39"/>
      <c r="L10" s="39"/>
      <c r="M10" s="39"/>
      <c r="N10" s="33"/>
      <c r="O10" s="33"/>
      <c r="U10" s="19"/>
      <c r="V10" s="19"/>
      <c r="W10" s="34"/>
      <c r="X10" s="19"/>
      <c r="Y10" s="22"/>
      <c r="Z10" s="21"/>
      <c r="AA10" s="19"/>
      <c r="AB10" s="32"/>
    </row>
    <row r="11" spans="1:40" x14ac:dyDescent="0.25">
      <c r="A11" s="33"/>
      <c r="B11" s="33"/>
      <c r="C11" s="33"/>
      <c r="D11" s="33"/>
      <c r="E11" s="33"/>
      <c r="F11" s="33"/>
      <c r="G11" s="33"/>
      <c r="H11" s="33"/>
      <c r="I11" s="39"/>
      <c r="J11" s="39"/>
      <c r="K11" s="39"/>
      <c r="L11" s="39"/>
      <c r="M11" s="39"/>
      <c r="N11" s="33"/>
      <c r="O11" s="33"/>
      <c r="U11" s="19"/>
      <c r="V11" s="19"/>
      <c r="W11" s="34"/>
      <c r="X11" s="19"/>
      <c r="Y11" s="22"/>
      <c r="Z11" s="21"/>
      <c r="AA11" s="19"/>
      <c r="AB11" s="19"/>
    </row>
    <row r="12" spans="1:40" x14ac:dyDescent="0.25">
      <c r="A12" s="33"/>
      <c r="B12" s="33"/>
      <c r="C12" s="33"/>
      <c r="D12" s="33"/>
      <c r="E12" s="33"/>
      <c r="F12" s="33"/>
      <c r="G12" s="33"/>
      <c r="H12" s="33"/>
      <c r="I12" s="39"/>
      <c r="J12" s="39"/>
      <c r="K12" s="39"/>
      <c r="L12" s="39"/>
      <c r="M12" s="39"/>
      <c r="N12" s="33"/>
      <c r="O12" s="33"/>
      <c r="U12" s="19"/>
      <c r="V12" s="19"/>
      <c r="W12" s="34"/>
      <c r="X12" s="19"/>
      <c r="Y12" s="22"/>
      <c r="Z12" s="21"/>
      <c r="AA12" s="19"/>
      <c r="AB12" s="19"/>
    </row>
    <row r="13" spans="1:40" x14ac:dyDescent="0.25">
      <c r="A13" s="33"/>
      <c r="B13" s="33"/>
      <c r="C13" s="33"/>
      <c r="D13" s="33"/>
      <c r="E13" s="33"/>
      <c r="F13" s="33"/>
      <c r="G13" s="33"/>
      <c r="H13" s="33"/>
      <c r="I13" s="39"/>
      <c r="J13" s="39"/>
      <c r="K13" s="39"/>
      <c r="L13" s="39"/>
      <c r="M13" s="39"/>
      <c r="N13" s="33"/>
      <c r="O13" s="33"/>
      <c r="U13" s="19"/>
      <c r="V13" s="19"/>
      <c r="W13" s="34"/>
      <c r="X13" s="19"/>
      <c r="Y13" s="22"/>
      <c r="Z13" s="21"/>
      <c r="AA13" s="19"/>
      <c r="AB13" s="19"/>
    </row>
    <row r="14" spans="1:40" x14ac:dyDescent="0.25">
      <c r="A14" s="33"/>
      <c r="B14" s="33"/>
      <c r="C14" s="33"/>
      <c r="D14" s="33"/>
      <c r="E14" s="33"/>
      <c r="F14" s="33"/>
      <c r="G14" s="33"/>
      <c r="H14" s="33"/>
      <c r="I14" s="39"/>
      <c r="J14" s="39"/>
      <c r="K14" s="39"/>
      <c r="L14" s="39"/>
      <c r="M14" s="39"/>
      <c r="N14" s="33"/>
      <c r="O14" s="33"/>
      <c r="U14" s="19"/>
      <c r="V14" s="19"/>
      <c r="W14" s="34"/>
      <c r="X14" s="19"/>
      <c r="Y14" s="22"/>
      <c r="Z14" s="21"/>
      <c r="AA14" s="19"/>
      <c r="AB14" s="19"/>
    </row>
    <row r="15" spans="1:40" x14ac:dyDescent="0.25">
      <c r="A15" s="33"/>
      <c r="B15" s="33"/>
      <c r="C15" s="33"/>
      <c r="D15" s="33"/>
      <c r="E15" s="33"/>
      <c r="F15" s="33"/>
      <c r="G15" s="33"/>
      <c r="H15" s="33"/>
      <c r="I15" s="39"/>
      <c r="J15" s="39"/>
      <c r="K15" s="39"/>
      <c r="L15" s="39"/>
      <c r="M15" s="39"/>
      <c r="N15" s="33"/>
      <c r="O15" s="33"/>
      <c r="U15" s="19"/>
      <c r="V15" s="19"/>
      <c r="W15" s="34"/>
      <c r="X15" s="19"/>
      <c r="Y15" s="22"/>
      <c r="Z15" s="21"/>
      <c r="AA15" s="19"/>
      <c r="AB15" s="19"/>
    </row>
    <row r="16" spans="1:40" x14ac:dyDescent="0.25">
      <c r="A16" s="33"/>
      <c r="B16" s="33"/>
      <c r="C16" s="33"/>
      <c r="D16" s="33"/>
      <c r="E16" s="33"/>
      <c r="F16" s="33"/>
      <c r="G16" s="33"/>
      <c r="H16" s="33"/>
      <c r="I16" s="39"/>
      <c r="J16" s="39"/>
      <c r="K16" s="39"/>
      <c r="L16" s="39"/>
      <c r="M16" s="39"/>
      <c r="N16" s="33"/>
      <c r="O16" s="33"/>
      <c r="W16" s="35"/>
      <c r="X16" s="19"/>
      <c r="Y16" s="22"/>
      <c r="Z16" s="21"/>
      <c r="AA16" s="19"/>
      <c r="AB16" s="19"/>
    </row>
    <row r="17" spans="1:28" x14ac:dyDescent="0.25">
      <c r="A17" s="33"/>
      <c r="B17" s="33"/>
      <c r="C17" s="33"/>
      <c r="D17" s="33"/>
      <c r="E17" s="33"/>
      <c r="F17" s="33"/>
      <c r="G17" s="33"/>
      <c r="H17" s="33"/>
      <c r="I17" s="39"/>
      <c r="J17" s="39"/>
      <c r="K17" s="39"/>
      <c r="L17" s="39"/>
      <c r="M17" s="39"/>
      <c r="N17" s="33"/>
      <c r="O17" s="33"/>
      <c r="W17" s="35"/>
      <c r="X17" s="13"/>
      <c r="Y17" s="15"/>
      <c r="Z17" s="20"/>
      <c r="AA17" s="13"/>
      <c r="AB17" s="13"/>
    </row>
    <row r="18" spans="1:28" x14ac:dyDescent="0.25">
      <c r="A18" s="33"/>
      <c r="B18" s="33"/>
      <c r="C18" s="33"/>
      <c r="D18" s="33"/>
      <c r="E18" s="33"/>
      <c r="F18" s="33"/>
      <c r="G18" s="33"/>
      <c r="H18" s="33"/>
      <c r="I18" s="39"/>
      <c r="J18" s="39"/>
      <c r="K18" s="39"/>
      <c r="L18" s="39"/>
      <c r="M18" s="39"/>
      <c r="N18" s="33"/>
      <c r="O18" s="33"/>
      <c r="W18" s="35"/>
      <c r="X18" s="13"/>
      <c r="Y18" s="15"/>
      <c r="Z18" s="20"/>
      <c r="AA18" s="13"/>
      <c r="AB18" s="13"/>
    </row>
    <row r="19" spans="1:28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W19" s="35"/>
      <c r="X19" s="13"/>
      <c r="Y19" s="15"/>
      <c r="Z19" s="20"/>
      <c r="AA19" s="13"/>
      <c r="AB19" s="13"/>
    </row>
    <row r="20" spans="1:28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W20" s="35"/>
      <c r="X20" s="13"/>
      <c r="Y20" s="15"/>
      <c r="Z20" s="20"/>
      <c r="AA20" s="13"/>
      <c r="AB20" s="13"/>
    </row>
    <row r="21" spans="1:28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W21" s="35"/>
      <c r="X21" s="13"/>
      <c r="Y21" s="15"/>
      <c r="Z21" s="20"/>
      <c r="AA21" s="13"/>
      <c r="AB21" s="13"/>
    </row>
    <row r="22" spans="1:28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W22" s="35"/>
      <c r="X22" s="13"/>
      <c r="Y22" s="15"/>
      <c r="Z22" s="20"/>
      <c r="AA22" s="13"/>
      <c r="AB22" s="13"/>
    </row>
    <row r="23" spans="1:28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W23" s="35"/>
      <c r="X23" s="13"/>
      <c r="Y23" s="15"/>
      <c r="Z23" s="20"/>
      <c r="AA23" s="13"/>
      <c r="AB23" s="13"/>
    </row>
    <row r="24" spans="1:28" ht="15.75" x14ac:dyDescent="0.25">
      <c r="A24" s="33"/>
      <c r="B24" s="38" t="s">
        <v>67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W24" s="35"/>
      <c r="X24" s="13"/>
      <c r="Y24" s="15"/>
      <c r="Z24" s="20"/>
      <c r="AA24" s="13"/>
      <c r="AB24" s="13"/>
    </row>
    <row r="25" spans="1:28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W25" s="35"/>
      <c r="X25" s="13"/>
      <c r="Y25" s="15"/>
      <c r="Z25" s="20"/>
      <c r="AA25" s="13"/>
      <c r="AB25" s="13"/>
    </row>
    <row r="26" spans="1:28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W26" s="35"/>
      <c r="X26" s="13"/>
      <c r="Y26" s="15"/>
      <c r="Z26" s="20"/>
      <c r="AA26" s="13"/>
      <c r="AB26" s="13"/>
    </row>
    <row r="27" spans="1:28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W27" s="35"/>
      <c r="X27" s="13"/>
      <c r="Y27" s="15"/>
      <c r="Z27" s="20"/>
      <c r="AA27" s="13"/>
      <c r="AB27" s="13"/>
    </row>
    <row r="28" spans="1:28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W28" s="35"/>
      <c r="X28" s="13"/>
      <c r="Y28" s="15"/>
      <c r="Z28" s="20"/>
      <c r="AA28" s="13"/>
      <c r="AB28" s="13"/>
    </row>
    <row r="29" spans="1:28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W29" s="35"/>
      <c r="X29" s="13"/>
      <c r="Y29" s="15"/>
      <c r="Z29" s="20"/>
      <c r="AA29" s="13"/>
      <c r="AB29" s="13"/>
    </row>
    <row r="30" spans="1:28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W30" s="35"/>
      <c r="X30" s="13"/>
      <c r="Y30" s="15"/>
      <c r="Z30" s="20"/>
      <c r="AA30" s="13"/>
      <c r="AB30" s="13"/>
    </row>
    <row r="31" spans="1:28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W31" s="35"/>
      <c r="X31" s="13"/>
      <c r="Y31" s="15"/>
      <c r="Z31" s="20"/>
      <c r="AA31" s="13"/>
      <c r="AB31" s="13"/>
    </row>
    <row r="32" spans="1:28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W32" s="35"/>
      <c r="X32" s="13"/>
      <c r="Y32" s="15"/>
      <c r="Z32" s="20"/>
      <c r="AA32" s="13"/>
      <c r="AB32" s="13"/>
    </row>
    <row r="33" spans="1:28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W33" s="35"/>
      <c r="X33" s="13"/>
      <c r="Y33" s="15"/>
      <c r="Z33" s="20"/>
      <c r="AA33" s="13"/>
      <c r="AB33" s="13"/>
    </row>
    <row r="34" spans="1:28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U34" s="13"/>
      <c r="V34" s="13"/>
      <c r="W34" s="14"/>
      <c r="X34" s="13"/>
      <c r="Y34" s="15"/>
      <c r="Z34" s="20"/>
      <c r="AA34" s="13"/>
      <c r="AB34" s="13"/>
    </row>
    <row r="35" spans="1:28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U35" s="13"/>
      <c r="V35" s="13"/>
      <c r="W35" s="14"/>
      <c r="X35" s="13"/>
      <c r="Y35" s="15"/>
      <c r="Z35" s="20"/>
      <c r="AA35" s="13"/>
      <c r="AB35" s="13"/>
    </row>
    <row r="36" spans="1:28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U36" s="13"/>
      <c r="V36" s="13"/>
      <c r="W36" s="14"/>
      <c r="X36" s="13"/>
      <c r="Y36" s="15"/>
      <c r="Z36" s="20"/>
      <c r="AA36" s="13"/>
      <c r="AB36" s="13"/>
    </row>
    <row r="37" spans="1:28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U37" s="13"/>
      <c r="V37" s="13"/>
      <c r="W37" s="14"/>
      <c r="X37" s="13"/>
      <c r="Y37" s="15"/>
      <c r="Z37" s="20"/>
      <c r="AA37" s="13"/>
      <c r="AB37" s="13"/>
    </row>
    <row r="38" spans="1:28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U38" s="13"/>
      <c r="V38" s="13"/>
      <c r="W38" s="14"/>
      <c r="X38" s="13"/>
      <c r="Y38" s="15"/>
      <c r="Z38" s="20"/>
      <c r="AA38" s="13"/>
      <c r="AB38" s="13"/>
    </row>
    <row r="39" spans="1:28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U39" s="13"/>
      <c r="V39" s="13"/>
      <c r="W39" s="14"/>
      <c r="X39" s="13"/>
      <c r="Y39" s="15"/>
      <c r="Z39" s="20"/>
      <c r="AA39" s="13"/>
      <c r="AB39" s="13"/>
    </row>
    <row r="40" spans="1:28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U40" s="13"/>
      <c r="V40" s="13"/>
      <c r="W40" s="14"/>
      <c r="X40" s="13"/>
      <c r="Y40" s="15"/>
      <c r="Z40" s="20"/>
      <c r="AA40" s="13"/>
      <c r="AB40" s="13"/>
    </row>
    <row r="41" spans="1:28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U41" s="13"/>
      <c r="V41" s="13"/>
      <c r="W41" s="14"/>
      <c r="X41" s="13"/>
      <c r="Y41" s="15"/>
      <c r="Z41" s="20"/>
      <c r="AA41" s="13"/>
      <c r="AB41" s="13"/>
    </row>
    <row r="42" spans="1:28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U42" s="13"/>
      <c r="V42" s="13"/>
      <c r="W42" s="14"/>
      <c r="X42" s="13"/>
      <c r="Y42" s="15"/>
      <c r="Z42" s="20"/>
      <c r="AA42" s="13"/>
      <c r="AB42" s="13"/>
    </row>
    <row r="43" spans="1:28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U43" s="13"/>
      <c r="V43" s="13"/>
      <c r="W43" s="14"/>
      <c r="X43" s="13"/>
      <c r="Y43" s="15"/>
      <c r="Z43" s="20"/>
      <c r="AA43" s="13"/>
      <c r="AB43" s="13"/>
    </row>
    <row r="44" spans="1:28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U44" s="13"/>
      <c r="V44" s="13"/>
      <c r="W44" s="14"/>
      <c r="X44" s="13"/>
      <c r="Y44" s="15"/>
      <c r="Z44" s="20"/>
      <c r="AA44" s="13"/>
      <c r="AB44" s="13"/>
    </row>
    <row r="45" spans="1:28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U45" s="13"/>
      <c r="V45" s="13"/>
      <c r="W45" s="14"/>
      <c r="X45" s="13"/>
      <c r="Y45" s="15"/>
      <c r="Z45" s="20"/>
      <c r="AA45" s="13"/>
      <c r="AB45" s="13"/>
    </row>
    <row r="46" spans="1:28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U46" s="13"/>
      <c r="V46" s="13"/>
      <c r="W46" s="14"/>
      <c r="X46" s="13"/>
      <c r="Y46" s="15"/>
      <c r="Z46" s="20"/>
      <c r="AA46" s="13"/>
      <c r="AB46" s="13"/>
    </row>
    <row r="47" spans="1:28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U47" s="13"/>
      <c r="V47" s="13"/>
      <c r="W47" s="14"/>
      <c r="X47" s="13"/>
      <c r="Y47" s="15"/>
      <c r="Z47" s="20"/>
      <c r="AA47" s="13"/>
      <c r="AB47" s="13"/>
    </row>
    <row r="48" spans="1:28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U48" s="13"/>
      <c r="V48" s="13"/>
      <c r="W48" s="14"/>
      <c r="X48" s="13"/>
      <c r="Y48" s="15"/>
      <c r="Z48" s="20"/>
      <c r="AA48" s="13"/>
      <c r="AB48" s="13"/>
    </row>
    <row r="49" spans="1:28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U49" s="13"/>
      <c r="V49" s="13"/>
      <c r="W49" s="14"/>
      <c r="X49" s="13"/>
      <c r="Y49" s="15"/>
      <c r="Z49" s="20"/>
      <c r="AA49" s="13"/>
      <c r="AB49" s="13"/>
    </row>
    <row r="50" spans="1:28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U50" s="13"/>
      <c r="V50" s="13"/>
      <c r="W50" s="13"/>
      <c r="X50" s="13"/>
      <c r="Y50" s="15"/>
      <c r="Z50" s="20"/>
      <c r="AA50" s="13"/>
      <c r="AB50" s="13"/>
    </row>
    <row r="51" spans="1:28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U51" s="13"/>
      <c r="V51" s="13"/>
      <c r="W51" s="13"/>
      <c r="X51" s="13"/>
      <c r="Y51" s="15"/>
      <c r="Z51" s="20"/>
      <c r="AA51" s="13"/>
      <c r="AB51" s="13"/>
    </row>
    <row r="52" spans="1:28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U52" s="13"/>
      <c r="V52" s="13"/>
      <c r="W52" s="13"/>
      <c r="X52" s="13"/>
      <c r="Y52" s="15"/>
      <c r="Z52" s="20"/>
      <c r="AA52" s="13"/>
      <c r="AB52" s="13"/>
    </row>
    <row r="53" spans="1:28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U53" s="13"/>
      <c r="V53" s="13"/>
      <c r="W53" s="13"/>
      <c r="X53" s="13"/>
      <c r="Y53" s="15"/>
      <c r="Z53" s="20"/>
      <c r="AA53" s="13"/>
      <c r="AB53" s="13"/>
    </row>
    <row r="54" spans="1:28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U54" s="13"/>
      <c r="V54" s="13"/>
      <c r="W54" s="13"/>
      <c r="X54" s="13"/>
      <c r="Y54" s="15"/>
      <c r="Z54" s="20"/>
      <c r="AA54" s="13"/>
      <c r="AB54" s="13"/>
    </row>
    <row r="55" spans="1:28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U55" s="13"/>
      <c r="V55" s="13"/>
      <c r="W55" s="13"/>
      <c r="X55" s="13"/>
      <c r="Y55" s="15"/>
      <c r="Z55" s="20"/>
      <c r="AA55" s="13"/>
      <c r="AB55" s="13"/>
    </row>
    <row r="56" spans="1:28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U56" s="13"/>
      <c r="V56" s="13"/>
      <c r="W56" s="13"/>
      <c r="X56" s="13"/>
      <c r="Y56" s="15"/>
      <c r="Z56" s="20"/>
      <c r="AA56" s="13"/>
      <c r="AB56" s="13"/>
    </row>
    <row r="57" spans="1:28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U57" s="13"/>
      <c r="V57" s="13"/>
      <c r="W57" s="13"/>
      <c r="X57" s="13"/>
      <c r="Y57" s="15"/>
      <c r="Z57" s="20"/>
      <c r="AA57" s="13"/>
      <c r="AB57" s="13"/>
    </row>
    <row r="58" spans="1:28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U58" s="13"/>
      <c r="V58" s="13"/>
      <c r="W58" s="13"/>
      <c r="X58" s="13"/>
      <c r="Y58" s="15"/>
      <c r="Z58" s="20"/>
      <c r="AA58" s="13"/>
      <c r="AB58" s="13"/>
    </row>
    <row r="59" spans="1:28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U59" s="13"/>
      <c r="V59" s="13"/>
      <c r="W59" s="13"/>
      <c r="X59" s="13"/>
      <c r="Y59" s="15"/>
      <c r="Z59" s="20"/>
      <c r="AA59" s="13"/>
      <c r="AB59" s="13"/>
    </row>
    <row r="60" spans="1:28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U60" s="13"/>
      <c r="V60" s="13"/>
      <c r="W60" s="13"/>
      <c r="X60" s="13"/>
      <c r="Y60" s="15"/>
      <c r="Z60" s="20"/>
      <c r="AA60" s="13"/>
      <c r="AB60" s="13"/>
    </row>
    <row r="61" spans="1:28" x14ac:dyDescent="0.25">
      <c r="U61" s="13"/>
      <c r="V61" s="13"/>
      <c r="W61" s="13"/>
      <c r="X61" s="13"/>
      <c r="Y61" s="15"/>
      <c r="Z61" s="20"/>
      <c r="AA61" s="13"/>
      <c r="AB61" s="13"/>
    </row>
    <row r="62" spans="1:28" x14ac:dyDescent="0.25">
      <c r="U62" s="13"/>
      <c r="V62" s="13"/>
      <c r="W62" s="13"/>
      <c r="X62" s="13"/>
      <c r="Y62" s="15"/>
      <c r="Z62" s="20"/>
      <c r="AA62" s="13"/>
      <c r="AB62" s="13"/>
    </row>
    <row r="63" spans="1:28" x14ac:dyDescent="0.25">
      <c r="U63" s="13"/>
      <c r="V63" s="13"/>
      <c r="W63" s="13"/>
      <c r="X63" s="13"/>
      <c r="Y63" s="15"/>
      <c r="Z63" s="20"/>
      <c r="AA63" s="13"/>
      <c r="AB63" s="13"/>
    </row>
    <row r="64" spans="1:28" x14ac:dyDescent="0.25">
      <c r="U64" s="13"/>
      <c r="V64" s="13"/>
      <c r="W64" s="13"/>
      <c r="X64" s="13"/>
      <c r="Y64" s="15"/>
      <c r="Z64" s="20"/>
      <c r="AA64" s="13"/>
      <c r="AB64" s="13"/>
    </row>
    <row r="65" spans="21:28" x14ac:dyDescent="0.25">
      <c r="U65" s="13"/>
      <c r="V65" s="13"/>
      <c r="W65" s="13"/>
      <c r="X65" s="13"/>
      <c r="Y65" s="15"/>
      <c r="Z65" s="20"/>
      <c r="AA65" s="13"/>
      <c r="AB65" s="13"/>
    </row>
    <row r="66" spans="21:28" x14ac:dyDescent="0.25">
      <c r="U66" s="13"/>
      <c r="V66" s="13"/>
      <c r="W66" s="13"/>
      <c r="X66" s="13"/>
      <c r="Y66" s="15"/>
      <c r="Z66" s="20"/>
      <c r="AA66" s="13"/>
      <c r="AB66" s="13"/>
    </row>
    <row r="67" spans="21:28" x14ac:dyDescent="0.25">
      <c r="U67" s="13"/>
      <c r="V67" s="13"/>
      <c r="W67" s="13"/>
      <c r="X67" s="13"/>
      <c r="Y67" s="15"/>
      <c r="Z67" s="20"/>
      <c r="AA67" s="13"/>
      <c r="AB67" s="13"/>
    </row>
    <row r="68" spans="21:28" x14ac:dyDescent="0.25">
      <c r="U68" s="13"/>
      <c r="V68" s="13"/>
      <c r="W68" s="13"/>
      <c r="X68" s="13"/>
      <c r="Y68" s="15"/>
      <c r="Z68" s="20"/>
      <c r="AA68" s="13"/>
      <c r="AB68" s="13"/>
    </row>
    <row r="69" spans="21:28" x14ac:dyDescent="0.25">
      <c r="U69" s="13"/>
      <c r="V69" s="13"/>
      <c r="W69" s="13"/>
      <c r="X69" s="13"/>
      <c r="Y69" s="15"/>
      <c r="Z69" s="20"/>
      <c r="AA69" s="13"/>
      <c r="AB69" s="13"/>
    </row>
    <row r="70" spans="21:28" x14ac:dyDescent="0.25">
      <c r="U70" s="13"/>
      <c r="V70" s="13"/>
      <c r="W70" s="13"/>
      <c r="X70" s="13"/>
      <c r="Y70" s="15"/>
      <c r="Z70" s="20"/>
      <c r="AA70" s="13"/>
      <c r="AB70" s="13"/>
    </row>
    <row r="71" spans="21:28" x14ac:dyDescent="0.25">
      <c r="U71" s="13"/>
      <c r="V71" s="13"/>
      <c r="W71" s="13"/>
      <c r="X71" s="13"/>
      <c r="Y71" s="15"/>
      <c r="Z71" s="20"/>
      <c r="AA71" s="13"/>
      <c r="AB71" s="13"/>
    </row>
    <row r="72" spans="21:28" x14ac:dyDescent="0.25">
      <c r="U72" s="13"/>
      <c r="V72" s="13"/>
      <c r="W72" s="13"/>
      <c r="X72" s="13"/>
      <c r="Y72" s="15"/>
      <c r="Z72" s="20"/>
      <c r="AA72" s="13"/>
      <c r="AB72" s="13"/>
    </row>
    <row r="73" spans="21:28" x14ac:dyDescent="0.25">
      <c r="U73" s="13"/>
      <c r="V73" s="13"/>
      <c r="W73" s="13"/>
      <c r="X73" s="13"/>
      <c r="Y73" s="15"/>
      <c r="Z73" s="20"/>
      <c r="AA73" s="13"/>
      <c r="AB73" s="13"/>
    </row>
    <row r="74" spans="21:28" x14ac:dyDescent="0.25">
      <c r="U74" s="13"/>
      <c r="V74" s="13"/>
      <c r="W74" s="13"/>
      <c r="X74" s="13"/>
      <c r="Y74" s="13"/>
      <c r="Z74" s="20"/>
      <c r="AA74" s="13"/>
      <c r="AB74" s="13"/>
    </row>
    <row r="75" spans="21:28" x14ac:dyDescent="0.25">
      <c r="U75" s="13"/>
      <c r="V75" s="13"/>
      <c r="W75" s="13"/>
      <c r="X75" s="13"/>
      <c r="Y75" s="13"/>
      <c r="Z75" s="20"/>
      <c r="AA75" s="13"/>
      <c r="AB75" s="13"/>
    </row>
    <row r="76" spans="21:28" x14ac:dyDescent="0.25">
      <c r="U76" s="13"/>
      <c r="V76" s="13"/>
      <c r="W76" s="13"/>
      <c r="X76" s="13"/>
      <c r="Y76" s="13"/>
      <c r="Z76" s="20"/>
      <c r="AA76" s="13"/>
      <c r="AB76" s="13"/>
    </row>
    <row r="77" spans="21:28" x14ac:dyDescent="0.25">
      <c r="U77" s="13"/>
      <c r="V77" s="13"/>
      <c r="W77" s="13"/>
      <c r="X77" s="13"/>
      <c r="Y77" s="13"/>
      <c r="Z77" s="20"/>
      <c r="AA77" s="13"/>
      <c r="AB77" s="13"/>
    </row>
    <row r="78" spans="21:28" x14ac:dyDescent="0.25">
      <c r="U78" s="13"/>
      <c r="V78" s="13"/>
      <c r="W78" s="13"/>
      <c r="X78" s="13"/>
      <c r="Y78" s="13"/>
      <c r="Z78" s="20"/>
      <c r="AA78" s="13"/>
      <c r="AB78" s="13"/>
    </row>
    <row r="79" spans="21:28" x14ac:dyDescent="0.25">
      <c r="U79" s="13"/>
      <c r="V79" s="13"/>
      <c r="W79" s="13"/>
      <c r="X79" s="13"/>
      <c r="Y79" s="13"/>
      <c r="Z79" s="20"/>
      <c r="AA79" s="13"/>
      <c r="AB79" s="13"/>
    </row>
    <row r="80" spans="21:28" x14ac:dyDescent="0.25">
      <c r="U80" s="13"/>
      <c r="V80" s="13"/>
      <c r="W80" s="13"/>
      <c r="X80" s="13"/>
      <c r="Y80" s="13"/>
      <c r="Z80" s="20"/>
      <c r="AA80" s="13"/>
      <c r="AB80" s="13"/>
    </row>
    <row r="81" spans="21:28" x14ac:dyDescent="0.25">
      <c r="U81" s="13"/>
      <c r="V81" s="13"/>
      <c r="W81" s="13"/>
      <c r="X81" s="13"/>
      <c r="Y81" s="13"/>
      <c r="Z81" s="20"/>
      <c r="AA81" s="13"/>
      <c r="AB81" s="13"/>
    </row>
    <row r="82" spans="21:28" x14ac:dyDescent="0.25">
      <c r="U82" s="13"/>
      <c r="V82" s="13"/>
      <c r="W82" s="13"/>
      <c r="X82" s="13"/>
      <c r="Y82" s="13"/>
      <c r="Z82" s="20"/>
      <c r="AA82" s="13"/>
      <c r="AB82" s="13"/>
    </row>
    <row r="83" spans="21:28" x14ac:dyDescent="0.25">
      <c r="U83" s="13"/>
      <c r="V83" s="13"/>
      <c r="W83" s="13"/>
      <c r="X83" s="13"/>
      <c r="Y83" s="13"/>
      <c r="Z83" s="20"/>
      <c r="AA83" s="13"/>
      <c r="AB83" s="13"/>
    </row>
    <row r="84" spans="21:28" x14ac:dyDescent="0.25">
      <c r="U84" s="13"/>
      <c r="V84" s="13"/>
      <c r="W84" s="13"/>
      <c r="X84" s="13"/>
      <c r="Y84" s="13"/>
      <c r="Z84" s="20"/>
      <c r="AA84" s="13"/>
      <c r="AB84" s="13"/>
    </row>
    <row r="85" spans="21:28" x14ac:dyDescent="0.25">
      <c r="U85" s="13"/>
      <c r="V85" s="13"/>
      <c r="W85" s="13"/>
      <c r="X85" s="13"/>
      <c r="Y85" s="13"/>
      <c r="Z85" s="20"/>
      <c r="AA85" s="13"/>
      <c r="AB85" s="13"/>
    </row>
    <row r="86" spans="21:28" x14ac:dyDescent="0.25">
      <c r="U86" s="13"/>
      <c r="V86" s="13"/>
      <c r="W86" s="13"/>
      <c r="X86" s="13"/>
      <c r="Y86" s="13"/>
      <c r="Z86" s="20"/>
      <c r="AA86" s="13"/>
      <c r="AB86" s="13"/>
    </row>
    <row r="87" spans="21:28" x14ac:dyDescent="0.25">
      <c r="U87" s="13"/>
      <c r="V87" s="13"/>
      <c r="W87" s="13"/>
      <c r="X87" s="13"/>
      <c r="Y87" s="13"/>
      <c r="Z87" s="20"/>
      <c r="AA87" s="13"/>
      <c r="AB87" s="13"/>
    </row>
    <row r="88" spans="21:28" x14ac:dyDescent="0.25">
      <c r="U88" s="13"/>
      <c r="V88" s="13"/>
      <c r="W88" s="13"/>
      <c r="X88" s="13"/>
      <c r="Y88" s="13"/>
      <c r="Z88" s="20"/>
      <c r="AA88" s="13"/>
      <c r="AB88" s="13"/>
    </row>
    <row r="89" spans="21:28" x14ac:dyDescent="0.25">
      <c r="U89" s="13"/>
      <c r="V89" s="13"/>
      <c r="W89" s="13"/>
      <c r="X89" s="13"/>
      <c r="Y89" s="13"/>
      <c r="Z89" s="20"/>
      <c r="AA89" s="13"/>
      <c r="AB89" s="13"/>
    </row>
    <row r="90" spans="21:28" x14ac:dyDescent="0.25">
      <c r="U90" s="13"/>
      <c r="V90" s="13"/>
      <c r="W90" s="13"/>
      <c r="X90" s="13"/>
      <c r="Y90" s="13"/>
      <c r="Z90" s="20"/>
      <c r="AA90" s="13"/>
      <c r="AB90" s="13"/>
    </row>
    <row r="91" spans="21:28" x14ac:dyDescent="0.25">
      <c r="U91" s="13"/>
      <c r="V91" s="13"/>
      <c r="W91" s="13"/>
      <c r="X91" s="13"/>
      <c r="Y91" s="13"/>
      <c r="Z91" s="20"/>
      <c r="AA91" s="13"/>
      <c r="AB91" s="13"/>
    </row>
    <row r="92" spans="21:28" x14ac:dyDescent="0.25">
      <c r="U92" s="13"/>
      <c r="V92" s="13"/>
      <c r="W92" s="13"/>
      <c r="X92" s="13"/>
      <c r="Y92" s="13"/>
      <c r="Z92" s="20"/>
      <c r="AA92" s="13"/>
      <c r="AB92" s="13"/>
    </row>
    <row r="93" spans="21:28" x14ac:dyDescent="0.25">
      <c r="U93" s="13"/>
      <c r="V93" s="13"/>
      <c r="W93" s="13"/>
      <c r="X93" s="13"/>
      <c r="Y93" s="13"/>
      <c r="Z93" s="20"/>
      <c r="AA93" s="13"/>
      <c r="AB93" s="13"/>
    </row>
    <row r="94" spans="21:28" x14ac:dyDescent="0.25">
      <c r="U94" s="13"/>
      <c r="V94" s="13"/>
      <c r="W94" s="13"/>
      <c r="X94" s="13"/>
      <c r="Y94" s="13"/>
      <c r="Z94" s="20"/>
      <c r="AA94" s="13"/>
      <c r="AB94" s="13"/>
    </row>
    <row r="95" spans="21:28" x14ac:dyDescent="0.25">
      <c r="U95" s="13"/>
      <c r="V95" s="13"/>
      <c r="W95" s="13"/>
      <c r="X95" s="13"/>
      <c r="Y95" s="13"/>
      <c r="Z95" s="20"/>
      <c r="AA95" s="13"/>
      <c r="AB95" s="13"/>
    </row>
    <row r="96" spans="21:28" x14ac:dyDescent="0.25">
      <c r="U96" s="13"/>
      <c r="V96" s="13"/>
      <c r="W96" s="13"/>
      <c r="X96" s="13"/>
      <c r="Y96" s="13"/>
      <c r="Z96" s="20"/>
      <c r="AA96" s="13"/>
      <c r="AB96" s="13"/>
    </row>
    <row r="97" spans="21:28" x14ac:dyDescent="0.25">
      <c r="U97" s="13"/>
      <c r="V97" s="13"/>
      <c r="W97" s="13"/>
      <c r="X97" s="13"/>
      <c r="Y97" s="13"/>
      <c r="Z97" s="20"/>
      <c r="AA97" s="13"/>
      <c r="AB97" s="13"/>
    </row>
    <row r="98" spans="21:28" x14ac:dyDescent="0.25">
      <c r="U98" s="13"/>
      <c r="V98" s="13"/>
      <c r="W98" s="13"/>
      <c r="X98" s="13"/>
      <c r="Y98" s="13"/>
      <c r="Z98" s="20"/>
      <c r="AA98" s="13"/>
      <c r="AB98" s="13"/>
    </row>
    <row r="99" spans="21:28" x14ac:dyDescent="0.25">
      <c r="U99" s="13"/>
      <c r="V99" s="13"/>
      <c r="W99" s="13"/>
      <c r="X99" s="13"/>
      <c r="Y99" s="13"/>
      <c r="Z99" s="20"/>
      <c r="AA99" s="13"/>
      <c r="AB99" s="13"/>
    </row>
    <row r="100" spans="21:28" x14ac:dyDescent="0.25">
      <c r="U100" s="13"/>
      <c r="V100" s="13"/>
      <c r="W100" s="13"/>
      <c r="X100" s="13"/>
      <c r="Y100" s="13"/>
      <c r="Z100" s="20"/>
      <c r="AA100" s="13"/>
      <c r="AB100" s="13"/>
    </row>
  </sheetData>
  <pageMargins left="0.511811024" right="0.511811024" top="0.78740157499999996" bottom="0.78740157499999996" header="0.31496062000000002" footer="0.31496062000000002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E22F3-1F2D-4C2D-99B8-A8F3D642712F}">
  <sheetPr codeName="Planilha5"/>
  <dimension ref="A1:H9"/>
  <sheetViews>
    <sheetView showGridLines="0" workbookViewId="0">
      <selection activeCell="B21" sqref="B21"/>
    </sheetView>
  </sheetViews>
  <sheetFormatPr defaultColWidth="0" defaultRowHeight="15" x14ac:dyDescent="0.25"/>
  <cols>
    <col min="1" max="1" width="16.28515625" style="17" customWidth="1"/>
    <col min="2" max="2" width="24.5703125" style="17" customWidth="1"/>
    <col min="3" max="3" width="27.85546875" style="14" customWidth="1"/>
    <col min="4" max="4" width="24.42578125" style="13" customWidth="1"/>
    <col min="5" max="5" width="15.7109375" style="15" customWidth="1"/>
    <col min="6" max="6" width="12.5703125" style="15" customWidth="1"/>
    <col min="7" max="7" width="19.28515625" style="17" customWidth="1"/>
    <col min="8" max="8" width="19.85546875" style="17" customWidth="1"/>
    <col min="9" max="16384" width="9" hidden="1"/>
  </cols>
  <sheetData>
    <row r="1" spans="1:8" x14ac:dyDescent="0.25">
      <c r="A1" s="3"/>
      <c r="B1" s="3"/>
      <c r="C1" s="3"/>
      <c r="D1" s="3"/>
      <c r="E1" s="3"/>
      <c r="F1" s="3"/>
      <c r="G1" s="3"/>
      <c r="H1" s="3"/>
    </row>
    <row r="2" spans="1:8" x14ac:dyDescent="0.25">
      <c r="A2" s="3"/>
      <c r="B2" s="3"/>
      <c r="C2" s="2" t="s">
        <v>45</v>
      </c>
      <c r="D2" s="29"/>
      <c r="E2" s="3"/>
      <c r="F2" s="3"/>
      <c r="G2" s="3"/>
      <c r="H2" s="3"/>
    </row>
    <row r="3" spans="1:8" x14ac:dyDescent="0.25">
      <c r="A3" s="3"/>
      <c r="B3" s="3"/>
      <c r="C3" s="3"/>
      <c r="D3" s="3"/>
      <c r="E3" s="3"/>
      <c r="F3" s="3"/>
      <c r="G3" s="3"/>
      <c r="H3" s="3"/>
    </row>
    <row r="4" spans="1:8" ht="8.25" customHeight="1" x14ac:dyDescent="0.25">
      <c r="A4"/>
      <c r="B4"/>
      <c r="C4"/>
      <c r="D4"/>
      <c r="E4"/>
      <c r="F4"/>
      <c r="G4"/>
      <c r="H4"/>
    </row>
    <row r="5" spans="1:8" x14ac:dyDescent="0.25">
      <c r="A5" s="2" t="s">
        <v>29</v>
      </c>
      <c r="B5" s="2" t="s">
        <v>37</v>
      </c>
      <c r="C5" s="2" t="s">
        <v>30</v>
      </c>
      <c r="D5" s="2" t="s">
        <v>31</v>
      </c>
      <c r="E5" s="2" t="s">
        <v>32</v>
      </c>
      <c r="F5" s="2" t="s">
        <v>33</v>
      </c>
      <c r="G5" s="2" t="s">
        <v>0</v>
      </c>
      <c r="H5" s="2" t="s">
        <v>47</v>
      </c>
    </row>
    <row r="6" spans="1:8" x14ac:dyDescent="0.25">
      <c r="A6" s="17" t="str" cm="1">
        <f t="array" ref="A6">IF(D2="", "", _xlfn._xlws.FILTER('Base de Vendas'!A6:H100, 'Base de Vendas'!G6:G100 = 'Relatório de Devedores'!D2, ""))</f>
        <v/>
      </c>
    </row>
    <row r="9" spans="1:8" x14ac:dyDescent="0.25">
      <c r="B9" s="28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35C4-A623-45A8-BDAD-4DC155E7443F}">
  <sheetPr codeName="Planilha7"/>
  <dimension ref="A1:I6"/>
  <sheetViews>
    <sheetView showGridLines="0" workbookViewId="0">
      <selection activeCell="D15" sqref="D15"/>
    </sheetView>
  </sheetViews>
  <sheetFormatPr defaultColWidth="0" defaultRowHeight="15" x14ac:dyDescent="0.25"/>
  <cols>
    <col min="1" max="1" width="26.140625" style="17" customWidth="1"/>
    <col min="2" max="2" width="22.85546875" style="17" customWidth="1"/>
    <col min="3" max="3" width="16.42578125" style="17" customWidth="1"/>
    <col min="4" max="4" width="35.42578125" style="17" customWidth="1"/>
    <col min="5" max="5" width="16.42578125" style="17" customWidth="1"/>
    <col min="6" max="16383" width="9" hidden="1"/>
    <col min="16384" max="16384" width="9" hidden="1" customWidth="1"/>
  </cols>
  <sheetData>
    <row r="1" spans="1:9" x14ac:dyDescent="0.25">
      <c r="A1" s="3"/>
      <c r="B1" s="3"/>
      <c r="C1" s="3"/>
      <c r="D1" s="3"/>
      <c r="E1" s="3"/>
    </row>
    <row r="2" spans="1:9" x14ac:dyDescent="0.25">
      <c r="A2" s="3"/>
      <c r="B2" s="3"/>
      <c r="C2" s="3"/>
      <c r="D2" s="3"/>
      <c r="E2" s="3"/>
    </row>
    <row r="3" spans="1:9" x14ac:dyDescent="0.25">
      <c r="A3" s="3"/>
      <c r="B3" s="3"/>
      <c r="C3" s="3"/>
      <c r="D3" s="3"/>
      <c r="E3" s="3"/>
    </row>
    <row r="4" spans="1:9" ht="6.75" customHeight="1" x14ac:dyDescent="0.25">
      <c r="A4"/>
      <c r="B4"/>
      <c r="C4"/>
      <c r="D4"/>
      <c r="E4"/>
    </row>
    <row r="5" spans="1:9" x14ac:dyDescent="0.25">
      <c r="A5" s="2" t="s">
        <v>1</v>
      </c>
      <c r="B5" s="2" t="s">
        <v>0</v>
      </c>
      <c r="C5" s="2" t="s">
        <v>2</v>
      </c>
      <c r="D5" s="2" t="s">
        <v>3</v>
      </c>
      <c r="E5" s="2" t="s">
        <v>4</v>
      </c>
      <c r="F5" s="2"/>
      <c r="G5" s="2"/>
      <c r="H5" s="2"/>
      <c r="I5" s="2"/>
    </row>
    <row r="6" spans="1:9" x14ac:dyDescent="0.25">
      <c r="A6" s="17" t="s">
        <v>51</v>
      </c>
      <c r="B6" s="17" t="s">
        <v>72</v>
      </c>
      <c r="C6" s="17" t="s">
        <v>73</v>
      </c>
      <c r="D6" s="17" t="s">
        <v>46</v>
      </c>
      <c r="E6" s="17" t="s">
        <v>52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49C5F-3037-49B6-9F5D-4F1554F82370}">
  <sheetPr codeName="Planilha8"/>
  <dimension ref="A1:XFC6"/>
  <sheetViews>
    <sheetView showGridLines="0" workbookViewId="0">
      <selection activeCell="C12" sqref="C12"/>
    </sheetView>
  </sheetViews>
  <sheetFormatPr defaultColWidth="0" defaultRowHeight="15" x14ac:dyDescent="0.25"/>
  <cols>
    <col min="1" max="1" width="21.85546875" style="13" customWidth="1"/>
    <col min="2" max="2" width="23.42578125" style="13" customWidth="1"/>
    <col min="3" max="3" width="21.42578125" style="13" customWidth="1"/>
    <col min="4" max="4" width="21.42578125" style="15" customWidth="1"/>
    <col min="5" max="16383" width="9" hidden="1"/>
    <col min="16384" max="16384" width="6.28515625" hidden="1" customWidth="1"/>
  </cols>
  <sheetData>
    <row r="1" spans="1:4" x14ac:dyDescent="0.25">
      <c r="A1" s="3"/>
      <c r="B1" s="3"/>
      <c r="C1" s="3"/>
      <c r="D1" s="3"/>
    </row>
    <row r="2" spans="1:4" x14ac:dyDescent="0.25">
      <c r="A2" s="9"/>
      <c r="B2" s="9"/>
      <c r="C2" s="9"/>
      <c r="D2" s="9"/>
    </row>
    <row r="3" spans="1:4" x14ac:dyDescent="0.25">
      <c r="A3" s="3"/>
      <c r="B3" s="3"/>
      <c r="C3" s="3"/>
      <c r="D3" s="3"/>
    </row>
    <row r="4" spans="1:4" ht="8.25" customHeight="1" x14ac:dyDescent="0.25">
      <c r="A4"/>
      <c r="B4"/>
      <c r="C4"/>
      <c r="D4"/>
    </row>
    <row r="5" spans="1:4" x14ac:dyDescent="0.25">
      <c r="A5" s="2" t="s">
        <v>11</v>
      </c>
      <c r="B5" s="2" t="s">
        <v>1</v>
      </c>
      <c r="C5" s="2" t="s">
        <v>12</v>
      </c>
      <c r="D5" s="2" t="s">
        <v>13</v>
      </c>
    </row>
    <row r="6" spans="1:4" x14ac:dyDescent="0.25">
      <c r="A6" s="17" t="s">
        <v>70</v>
      </c>
      <c r="B6" s="13" t="s">
        <v>71</v>
      </c>
      <c r="C6" s="13" t="s">
        <v>19</v>
      </c>
      <c r="D6" s="15">
        <v>110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0990B-5C88-4294-8B52-94D9701C3B8E}">
  <sheetPr codeName="Planilha10"/>
  <dimension ref="A1:E19"/>
  <sheetViews>
    <sheetView showGridLines="0" workbookViewId="0">
      <selection activeCell="A6" sqref="A6:E6"/>
    </sheetView>
  </sheetViews>
  <sheetFormatPr defaultColWidth="0" defaultRowHeight="15" x14ac:dyDescent="0.25"/>
  <cols>
    <col min="1" max="1" width="13.42578125" style="13" customWidth="1"/>
    <col min="2" max="2" width="21.7109375" style="15" customWidth="1"/>
    <col min="3" max="3" width="24.42578125" style="13" customWidth="1"/>
    <col min="4" max="4" width="26.7109375" style="13" customWidth="1"/>
    <col min="5" max="5" width="21.42578125" style="13" customWidth="1"/>
    <col min="6" max="16384" width="9" hidden="1"/>
  </cols>
  <sheetData>
    <row r="1" spans="1:5" x14ac:dyDescent="0.25">
      <c r="A1" s="3"/>
      <c r="B1" s="3"/>
      <c r="C1" s="3"/>
      <c r="D1" s="3"/>
      <c r="E1" s="3"/>
    </row>
    <row r="2" spans="1:5" x14ac:dyDescent="0.25">
      <c r="A2" s="3"/>
      <c r="B2" s="3"/>
      <c r="C2" s="3"/>
      <c r="D2" s="3"/>
      <c r="E2" s="3"/>
    </row>
    <row r="3" spans="1:5" x14ac:dyDescent="0.25">
      <c r="A3" s="3"/>
      <c r="B3" s="3"/>
      <c r="C3" s="3"/>
      <c r="D3" s="3"/>
      <c r="E3" s="3"/>
    </row>
    <row r="4" spans="1:5" ht="6.75" customHeight="1" x14ac:dyDescent="0.25">
      <c r="A4"/>
      <c r="B4"/>
      <c r="C4"/>
      <c r="D4"/>
      <c r="E4"/>
    </row>
    <row r="5" spans="1:5" x14ac:dyDescent="0.25">
      <c r="A5" s="2" t="s">
        <v>30</v>
      </c>
      <c r="B5" s="2" t="s">
        <v>34</v>
      </c>
      <c r="C5" s="2" t="s">
        <v>35</v>
      </c>
      <c r="D5" s="2" t="s">
        <v>40</v>
      </c>
      <c r="E5" s="2" t="s">
        <v>0</v>
      </c>
    </row>
    <row r="6" spans="1:5" x14ac:dyDescent="0.25">
      <c r="A6" s="14">
        <v>37911</v>
      </c>
      <c r="B6" s="15">
        <v>220</v>
      </c>
      <c r="C6" s="13" t="s">
        <v>41</v>
      </c>
      <c r="D6" s="13" t="s">
        <v>71</v>
      </c>
      <c r="E6" s="13">
        <v>3116691150</v>
      </c>
    </row>
    <row r="7" spans="1:5" x14ac:dyDescent="0.25">
      <c r="A7" s="14"/>
    </row>
    <row r="8" spans="1:5" x14ac:dyDescent="0.25">
      <c r="A8" s="14"/>
    </row>
    <row r="10" spans="1:5" x14ac:dyDescent="0.25">
      <c r="A10" s="14"/>
    </row>
    <row r="19" spans="2:2" x14ac:dyDescent="0.25">
      <c r="B1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1C648-DDD1-421D-B37B-693AB9011DA9}">
  <sheetPr codeName="Planilha9"/>
  <dimension ref="A1:H14"/>
  <sheetViews>
    <sheetView showGridLines="0" workbookViewId="0">
      <selection activeCell="A6" sqref="A6:H6"/>
    </sheetView>
  </sheetViews>
  <sheetFormatPr defaultColWidth="0" defaultRowHeight="15" x14ac:dyDescent="0.25"/>
  <cols>
    <col min="1" max="1" width="15" style="17" customWidth="1"/>
    <col min="2" max="2" width="29.7109375" style="17" customWidth="1"/>
    <col min="3" max="3" width="16.140625" style="13" customWidth="1"/>
    <col min="4" max="4" width="12.140625" style="13" customWidth="1"/>
    <col min="5" max="5" width="13.42578125" style="15" customWidth="1"/>
    <col min="6" max="6" width="11.42578125" style="15" customWidth="1"/>
    <col min="7" max="7" width="13.5703125" style="17" customWidth="1"/>
    <col min="8" max="8" width="10.85546875" style="27" customWidth="1"/>
    <col min="9" max="16384" width="9" hidden="1"/>
  </cols>
  <sheetData>
    <row r="1" spans="1:8" x14ac:dyDescent="0.25">
      <c r="A1" s="3"/>
      <c r="B1" s="3"/>
      <c r="C1" s="3"/>
      <c r="D1" s="3"/>
      <c r="E1" s="3"/>
      <c r="F1" s="3"/>
      <c r="G1" s="3"/>
      <c r="H1" s="3"/>
    </row>
    <row r="2" spans="1:8" x14ac:dyDescent="0.25">
      <c r="A2" s="3"/>
      <c r="B2" s="3"/>
      <c r="C2" s="3"/>
      <c r="D2" s="3"/>
      <c r="E2" s="3"/>
      <c r="F2" s="3"/>
      <c r="G2" s="3"/>
      <c r="H2" s="3"/>
    </row>
    <row r="3" spans="1:8" x14ac:dyDescent="0.25">
      <c r="A3" s="3"/>
      <c r="B3" s="3"/>
      <c r="C3" s="3"/>
      <c r="D3" s="3"/>
      <c r="E3" s="3"/>
      <c r="F3" s="3"/>
      <c r="G3" s="3"/>
      <c r="H3" s="3"/>
    </row>
    <row r="4" spans="1:8" ht="9.75" customHeight="1" x14ac:dyDescent="0.25">
      <c r="A4"/>
      <c r="B4"/>
      <c r="C4"/>
      <c r="D4"/>
      <c r="E4"/>
      <c r="F4"/>
      <c r="G4"/>
      <c r="H4"/>
    </row>
    <row r="5" spans="1:8" x14ac:dyDescent="0.25">
      <c r="A5" s="2" t="s">
        <v>29</v>
      </c>
      <c r="B5" s="2" t="s">
        <v>65</v>
      </c>
      <c r="C5" s="2" t="s">
        <v>30</v>
      </c>
      <c r="D5" s="2" t="s">
        <v>31</v>
      </c>
      <c r="E5" s="2" t="s">
        <v>32</v>
      </c>
      <c r="F5" s="2" t="s">
        <v>33</v>
      </c>
      <c r="G5" s="2" t="s">
        <v>0</v>
      </c>
      <c r="H5" s="2" t="s">
        <v>47</v>
      </c>
    </row>
    <row r="6" spans="1:8" x14ac:dyDescent="0.25">
      <c r="C6" s="14"/>
    </row>
    <row r="7" spans="1:8" x14ac:dyDescent="0.25">
      <c r="C7" s="14"/>
    </row>
    <row r="8" spans="1:8" x14ac:dyDescent="0.25">
      <c r="C8" s="14"/>
    </row>
    <row r="9" spans="1:8" x14ac:dyDescent="0.25">
      <c r="C9" s="14"/>
    </row>
    <row r="13" spans="1:8" x14ac:dyDescent="0.25">
      <c r="C13" s="14"/>
    </row>
    <row r="14" spans="1:8" x14ac:dyDescent="0.25">
      <c r="C14" s="14"/>
    </row>
  </sheetData>
  <sortState xmlns:xlrd2="http://schemas.microsoft.com/office/spreadsheetml/2017/richdata2" ref="A5:H16">
    <sortCondition descending="1" ref="F5:F16"/>
  </sortState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F3F65-E541-4629-AD32-CEE890733F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Menu</vt:lpstr>
      <vt:lpstr>Cadastrar Clientes</vt:lpstr>
      <vt:lpstr>Cadastrar Vendas e Recebimentos</vt:lpstr>
      <vt:lpstr>Cadastrar Produtos e Serviços</vt:lpstr>
      <vt:lpstr>Dashboard Financeiro</vt:lpstr>
      <vt:lpstr>Relatório de Devedores</vt:lpstr>
      <vt:lpstr>Base de Clientes</vt:lpstr>
      <vt:lpstr>Base de Produtos e Serviços</vt:lpstr>
      <vt:lpstr>Base de Recebimentos</vt:lpstr>
      <vt:lpstr>Base de 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Santos</dc:creator>
  <cp:lastModifiedBy>Gustavo S T</cp:lastModifiedBy>
  <dcterms:created xsi:type="dcterms:W3CDTF">2025-07-16T22:04:34Z</dcterms:created>
  <dcterms:modified xsi:type="dcterms:W3CDTF">2025-07-22T16:37:49Z</dcterms:modified>
</cp:coreProperties>
</file>